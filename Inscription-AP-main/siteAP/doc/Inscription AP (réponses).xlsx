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uyer\Desktop\BTS\stage\sujet stage AP\"/>
    </mc:Choice>
  </mc:AlternateContent>
  <xr:revisionPtr revIDLastSave="0" documentId="13_ncr:1_{6CABE94C-3338-4D01-8E20-881A57500FD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éponses au formulaire 1" sheetId="1" r:id="rId1"/>
    <sheet name="Seconde 1" sheetId="2" r:id="rId2"/>
    <sheet name="Seconde 2" sheetId="3" r:id="rId3"/>
    <sheet name="Seconde 3" sheetId="4" r:id="rId4"/>
    <sheet name="Seconde 4" sheetId="5" r:id="rId5"/>
    <sheet name="Seconde 5" sheetId="6" r:id="rId6"/>
    <sheet name="Seconde 6" sheetId="7" r:id="rId7"/>
    <sheet name="Seconde 7" sheetId="8" r:id="rId8"/>
    <sheet name="Atelier du Mercredi" sheetId="9" r:id="rId9"/>
    <sheet name="Atelier du mard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0" l="1"/>
  <c r="D9" i="10" s="1"/>
  <c r="C8" i="10"/>
  <c r="D8" i="10" s="1"/>
  <c r="C7" i="10"/>
  <c r="D7" i="10" s="1"/>
  <c r="C6" i="10"/>
  <c r="D6" i="10" s="1"/>
  <c r="C5" i="10"/>
  <c r="D5" i="10" s="1"/>
  <c r="C4" i="10"/>
  <c r="D4" i="10" s="1"/>
  <c r="E3" i="10"/>
  <c r="C3" i="10"/>
  <c r="D3" i="10" s="1"/>
  <c r="E2" i="10"/>
  <c r="C2" i="10"/>
  <c r="D2" i="10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E2" i="9"/>
  <c r="C2" i="9"/>
  <c r="D2" i="9" s="1"/>
  <c r="I36" i="8"/>
  <c r="C36" i="8"/>
  <c r="D36" i="8" s="1"/>
  <c r="I35" i="8"/>
  <c r="C35" i="8"/>
  <c r="D35" i="8" s="1"/>
  <c r="I34" i="8"/>
  <c r="C34" i="8"/>
  <c r="D34" i="8" s="1"/>
  <c r="I33" i="8"/>
  <c r="C33" i="8"/>
  <c r="D33" i="8" s="1"/>
  <c r="I32" i="8"/>
  <c r="C32" i="8"/>
  <c r="D32" i="8" s="1"/>
  <c r="I31" i="8"/>
  <c r="C31" i="8"/>
  <c r="D31" i="8" s="1"/>
  <c r="I30" i="8"/>
  <c r="C30" i="8"/>
  <c r="D30" i="8" s="1"/>
  <c r="I29" i="8"/>
  <c r="C29" i="8"/>
  <c r="D29" i="8" s="1"/>
  <c r="I28" i="8"/>
  <c r="C28" i="8"/>
  <c r="D28" i="8" s="1"/>
  <c r="I27" i="8"/>
  <c r="D27" i="8"/>
  <c r="C27" i="8"/>
  <c r="I26" i="8"/>
  <c r="C26" i="8"/>
  <c r="D26" i="8" s="1"/>
  <c r="I25" i="8"/>
  <c r="C25" i="8"/>
  <c r="D25" i="8" s="1"/>
  <c r="I24" i="8"/>
  <c r="C24" i="8"/>
  <c r="D24" i="8" s="1"/>
  <c r="I23" i="8"/>
  <c r="C23" i="8"/>
  <c r="D23" i="8" s="1"/>
  <c r="I22" i="8"/>
  <c r="C22" i="8"/>
  <c r="D22" i="8" s="1"/>
  <c r="I21" i="8"/>
  <c r="C21" i="8"/>
  <c r="D21" i="8" s="1"/>
  <c r="I20" i="8"/>
  <c r="C20" i="8"/>
  <c r="D20" i="8" s="1"/>
  <c r="I19" i="8"/>
  <c r="C19" i="8"/>
  <c r="D19" i="8" s="1"/>
  <c r="I18" i="8"/>
  <c r="C18" i="8"/>
  <c r="D18" i="8" s="1"/>
  <c r="I17" i="8"/>
  <c r="C17" i="8"/>
  <c r="D17" i="8" s="1"/>
  <c r="I16" i="8"/>
  <c r="C16" i="8"/>
  <c r="D16" i="8" s="1"/>
  <c r="I15" i="8"/>
  <c r="C15" i="8"/>
  <c r="D15" i="8" s="1"/>
  <c r="I14" i="8"/>
  <c r="C14" i="8"/>
  <c r="D14" i="8" s="1"/>
  <c r="I13" i="8"/>
  <c r="C13" i="8"/>
  <c r="D13" i="8" s="1"/>
  <c r="I12" i="8"/>
  <c r="C12" i="8"/>
  <c r="D12" i="8" s="1"/>
  <c r="I11" i="8"/>
  <c r="D11" i="8"/>
  <c r="C11" i="8"/>
  <c r="I10" i="8"/>
  <c r="C10" i="8"/>
  <c r="D10" i="8" s="1"/>
  <c r="I9" i="8"/>
  <c r="C9" i="8"/>
  <c r="D9" i="8" s="1"/>
  <c r="I8" i="8"/>
  <c r="C8" i="8"/>
  <c r="D8" i="8" s="1"/>
  <c r="I7" i="8"/>
  <c r="C7" i="8"/>
  <c r="D7" i="8" s="1"/>
  <c r="I6" i="8"/>
  <c r="C6" i="8"/>
  <c r="D6" i="8" s="1"/>
  <c r="I5" i="8"/>
  <c r="C5" i="8"/>
  <c r="D5" i="8" s="1"/>
  <c r="I4" i="8"/>
  <c r="C4" i="8"/>
  <c r="D4" i="8" s="1"/>
  <c r="I3" i="8"/>
  <c r="E3" i="8"/>
  <c r="C3" i="8"/>
  <c r="D3" i="8" s="1"/>
  <c r="I2" i="8"/>
  <c r="E2" i="8"/>
  <c r="C2" i="8"/>
  <c r="D2" i="8" s="1"/>
  <c r="J36" i="7"/>
  <c r="C36" i="7"/>
  <c r="D36" i="7" s="1"/>
  <c r="J35" i="7"/>
  <c r="C35" i="7"/>
  <c r="D35" i="7" s="1"/>
  <c r="J34" i="7"/>
  <c r="C34" i="7"/>
  <c r="D34" i="7" s="1"/>
  <c r="J33" i="7"/>
  <c r="C33" i="7"/>
  <c r="D33" i="7" s="1"/>
  <c r="J32" i="7"/>
  <c r="C32" i="7"/>
  <c r="D32" i="7" s="1"/>
  <c r="C31" i="7"/>
  <c r="D31" i="7" s="1"/>
  <c r="J30" i="7"/>
  <c r="D30" i="7"/>
  <c r="C30" i="7"/>
  <c r="J29" i="7"/>
  <c r="C29" i="7"/>
  <c r="D29" i="7" s="1"/>
  <c r="J28" i="7"/>
  <c r="C28" i="7"/>
  <c r="D28" i="7" s="1"/>
  <c r="J27" i="7"/>
  <c r="C27" i="7"/>
  <c r="D27" i="7" s="1"/>
  <c r="J26" i="7"/>
  <c r="C26" i="7"/>
  <c r="D26" i="7" s="1"/>
  <c r="J25" i="7"/>
  <c r="C25" i="7"/>
  <c r="D25" i="7" s="1"/>
  <c r="J24" i="7"/>
  <c r="C24" i="7"/>
  <c r="D24" i="7" s="1"/>
  <c r="J23" i="7"/>
  <c r="C23" i="7"/>
  <c r="D23" i="7" s="1"/>
  <c r="J22" i="7"/>
  <c r="C22" i="7"/>
  <c r="D22" i="7" s="1"/>
  <c r="J21" i="7"/>
  <c r="C21" i="7"/>
  <c r="D21" i="7" s="1"/>
  <c r="J20" i="7"/>
  <c r="C20" i="7"/>
  <c r="D20" i="7" s="1"/>
  <c r="J19" i="7"/>
  <c r="C19" i="7"/>
  <c r="D19" i="7" s="1"/>
  <c r="J18" i="7"/>
  <c r="C18" i="7"/>
  <c r="D18" i="7" s="1"/>
  <c r="J17" i="7"/>
  <c r="C17" i="7"/>
  <c r="D17" i="7" s="1"/>
  <c r="J16" i="7"/>
  <c r="C16" i="7"/>
  <c r="D16" i="7" s="1"/>
  <c r="J15" i="7"/>
  <c r="C15" i="7"/>
  <c r="D15" i="7" s="1"/>
  <c r="J14" i="7"/>
  <c r="C14" i="7"/>
  <c r="D14" i="7" s="1"/>
  <c r="J13" i="7"/>
  <c r="C13" i="7"/>
  <c r="D13" i="7" s="1"/>
  <c r="J12" i="7"/>
  <c r="C12" i="7"/>
  <c r="D12" i="7" s="1"/>
  <c r="J11" i="7"/>
  <c r="C11" i="7"/>
  <c r="D11" i="7" s="1"/>
  <c r="J10" i="7"/>
  <c r="C10" i="7"/>
  <c r="D10" i="7" s="1"/>
  <c r="J9" i="7"/>
  <c r="C9" i="7"/>
  <c r="D9" i="7" s="1"/>
  <c r="J8" i="7"/>
  <c r="E8" i="7"/>
  <c r="C8" i="7"/>
  <c r="D8" i="7" s="1"/>
  <c r="J7" i="7"/>
  <c r="E7" i="7"/>
  <c r="C7" i="7"/>
  <c r="D7" i="7" s="1"/>
  <c r="J6" i="7"/>
  <c r="E6" i="7"/>
  <c r="C6" i="7"/>
  <c r="D6" i="7" s="1"/>
  <c r="J5" i="7"/>
  <c r="E5" i="7"/>
  <c r="C5" i="7"/>
  <c r="D5" i="7" s="1"/>
  <c r="J4" i="7"/>
  <c r="E4" i="7"/>
  <c r="C4" i="7"/>
  <c r="D4" i="7" s="1"/>
  <c r="J3" i="7"/>
  <c r="E3" i="7"/>
  <c r="C3" i="7"/>
  <c r="D3" i="7" s="1"/>
  <c r="J2" i="7"/>
  <c r="E2" i="7"/>
  <c r="C2" i="7"/>
  <c r="D2" i="7" s="1"/>
  <c r="J35" i="6"/>
  <c r="C35" i="6"/>
  <c r="D35" i="6" s="1"/>
  <c r="J34" i="6"/>
  <c r="C34" i="6"/>
  <c r="D34" i="6" s="1"/>
  <c r="J33" i="6"/>
  <c r="C33" i="6"/>
  <c r="D33" i="6" s="1"/>
  <c r="J32" i="6"/>
  <c r="C32" i="6"/>
  <c r="D32" i="6" s="1"/>
  <c r="J31" i="6"/>
  <c r="C31" i="6"/>
  <c r="D31" i="6" s="1"/>
  <c r="J30" i="6"/>
  <c r="C30" i="6"/>
  <c r="D30" i="6" s="1"/>
  <c r="J29" i="6"/>
  <c r="C29" i="6"/>
  <c r="D29" i="6" s="1"/>
  <c r="J28" i="6"/>
  <c r="C28" i="6"/>
  <c r="D28" i="6" s="1"/>
  <c r="J27" i="6"/>
  <c r="C27" i="6"/>
  <c r="D27" i="6" s="1"/>
  <c r="J26" i="6"/>
  <c r="C26" i="6"/>
  <c r="D26" i="6" s="1"/>
  <c r="J25" i="6"/>
  <c r="C25" i="6"/>
  <c r="D25" i="6" s="1"/>
  <c r="J24" i="6"/>
  <c r="C24" i="6"/>
  <c r="D24" i="6" s="1"/>
  <c r="J23" i="6"/>
  <c r="C23" i="6"/>
  <c r="D23" i="6" s="1"/>
  <c r="J22" i="6"/>
  <c r="C22" i="6"/>
  <c r="D22" i="6" s="1"/>
  <c r="J21" i="6"/>
  <c r="C21" i="6"/>
  <c r="D21" i="6" s="1"/>
  <c r="J20" i="6"/>
  <c r="C20" i="6"/>
  <c r="D20" i="6" s="1"/>
  <c r="J19" i="6"/>
  <c r="C19" i="6"/>
  <c r="D19" i="6" s="1"/>
  <c r="J18" i="6"/>
  <c r="C18" i="6"/>
  <c r="D18" i="6" s="1"/>
  <c r="J17" i="6"/>
  <c r="C17" i="6"/>
  <c r="D17" i="6" s="1"/>
  <c r="J16" i="6"/>
  <c r="C16" i="6"/>
  <c r="D16" i="6" s="1"/>
  <c r="J15" i="6"/>
  <c r="C15" i="6"/>
  <c r="D15" i="6" s="1"/>
  <c r="J14" i="6"/>
  <c r="C14" i="6"/>
  <c r="D14" i="6" s="1"/>
  <c r="J13" i="6"/>
  <c r="C13" i="6"/>
  <c r="D13" i="6" s="1"/>
  <c r="J12" i="6"/>
  <c r="C12" i="6"/>
  <c r="D12" i="6" s="1"/>
  <c r="J11" i="6"/>
  <c r="C11" i="6"/>
  <c r="D11" i="6" s="1"/>
  <c r="J10" i="6"/>
  <c r="C10" i="6"/>
  <c r="D10" i="6" s="1"/>
  <c r="J9" i="6"/>
  <c r="C9" i="6"/>
  <c r="D9" i="6" s="1"/>
  <c r="J8" i="6"/>
  <c r="C8" i="6"/>
  <c r="D8" i="6" s="1"/>
  <c r="J7" i="6"/>
  <c r="C7" i="6"/>
  <c r="D7" i="6" s="1"/>
  <c r="J6" i="6"/>
  <c r="C6" i="6"/>
  <c r="D6" i="6" s="1"/>
  <c r="J5" i="6"/>
  <c r="C5" i="6"/>
  <c r="D5" i="6" s="1"/>
  <c r="J4" i="6"/>
  <c r="C4" i="6"/>
  <c r="D4" i="6" s="1"/>
  <c r="J3" i="6"/>
  <c r="C3" i="6"/>
  <c r="D3" i="6" s="1"/>
  <c r="J2" i="6"/>
  <c r="E2" i="6"/>
  <c r="C2" i="6"/>
  <c r="D2" i="6" s="1"/>
  <c r="J36" i="5"/>
  <c r="C36" i="5"/>
  <c r="D36" i="5" s="1"/>
  <c r="J35" i="5"/>
  <c r="C35" i="5"/>
  <c r="D35" i="5" s="1"/>
  <c r="J34" i="5"/>
  <c r="C34" i="5"/>
  <c r="D34" i="5" s="1"/>
  <c r="J33" i="5"/>
  <c r="C33" i="5"/>
  <c r="D33" i="5" s="1"/>
  <c r="J32" i="5"/>
  <c r="C32" i="5"/>
  <c r="D32" i="5" s="1"/>
  <c r="D31" i="5"/>
  <c r="J30" i="5"/>
  <c r="C30" i="5"/>
  <c r="D30" i="5" s="1"/>
  <c r="J29" i="5"/>
  <c r="C29" i="5"/>
  <c r="D29" i="5" s="1"/>
  <c r="J28" i="5"/>
  <c r="C28" i="5"/>
  <c r="D28" i="5" s="1"/>
  <c r="J27" i="5"/>
  <c r="C27" i="5"/>
  <c r="D27" i="5" s="1"/>
  <c r="J26" i="5"/>
  <c r="C26" i="5"/>
  <c r="D26" i="5" s="1"/>
  <c r="J25" i="5"/>
  <c r="C25" i="5"/>
  <c r="D25" i="5" s="1"/>
  <c r="J24" i="5"/>
  <c r="C24" i="5"/>
  <c r="D24" i="5" s="1"/>
  <c r="J23" i="5"/>
  <c r="C23" i="5"/>
  <c r="D23" i="5" s="1"/>
  <c r="J22" i="5"/>
  <c r="C22" i="5"/>
  <c r="D22" i="5" s="1"/>
  <c r="J21" i="5"/>
  <c r="C21" i="5"/>
  <c r="D21" i="5" s="1"/>
  <c r="J20" i="5"/>
  <c r="C20" i="5"/>
  <c r="D20" i="5" s="1"/>
  <c r="J19" i="5"/>
  <c r="C19" i="5"/>
  <c r="D19" i="5" s="1"/>
  <c r="J18" i="5"/>
  <c r="C18" i="5"/>
  <c r="D18" i="5" s="1"/>
  <c r="J17" i="5"/>
  <c r="C17" i="5"/>
  <c r="D17" i="5" s="1"/>
  <c r="J16" i="5"/>
  <c r="C16" i="5"/>
  <c r="D16" i="5" s="1"/>
  <c r="J15" i="5"/>
  <c r="C15" i="5"/>
  <c r="D15" i="5" s="1"/>
  <c r="J14" i="5"/>
  <c r="C14" i="5"/>
  <c r="D14" i="5" s="1"/>
  <c r="J13" i="5"/>
  <c r="C13" i="5"/>
  <c r="D13" i="5" s="1"/>
  <c r="J12" i="5"/>
  <c r="C12" i="5"/>
  <c r="D12" i="5" s="1"/>
  <c r="J11" i="5"/>
  <c r="C11" i="5"/>
  <c r="D11" i="5" s="1"/>
  <c r="J10" i="5"/>
  <c r="C10" i="5"/>
  <c r="D10" i="5" s="1"/>
  <c r="J9" i="5"/>
  <c r="C9" i="5"/>
  <c r="D9" i="5" s="1"/>
  <c r="J8" i="5"/>
  <c r="C8" i="5"/>
  <c r="D8" i="5" s="1"/>
  <c r="J7" i="5"/>
  <c r="C7" i="5"/>
  <c r="D7" i="5" s="1"/>
  <c r="J6" i="5"/>
  <c r="C6" i="5"/>
  <c r="D6" i="5" s="1"/>
  <c r="J5" i="5"/>
  <c r="D5" i="5"/>
  <c r="C5" i="5"/>
  <c r="J4" i="5"/>
  <c r="C4" i="5"/>
  <c r="D4" i="5" s="1"/>
  <c r="J3" i="5"/>
  <c r="E3" i="5"/>
  <c r="C3" i="5"/>
  <c r="D3" i="5" s="1"/>
  <c r="J2" i="5"/>
  <c r="E2" i="5"/>
  <c r="C2" i="5"/>
  <c r="D2" i="5" s="1"/>
  <c r="J36" i="4"/>
  <c r="C36" i="4"/>
  <c r="D36" i="4" s="1"/>
  <c r="J35" i="4"/>
  <c r="C35" i="4"/>
  <c r="D35" i="4" s="1"/>
  <c r="J34" i="4"/>
  <c r="C34" i="4"/>
  <c r="D34" i="4" s="1"/>
  <c r="J33" i="4"/>
  <c r="C33" i="4"/>
  <c r="D33" i="4" s="1"/>
  <c r="J32" i="4"/>
  <c r="C32" i="4"/>
  <c r="D32" i="4" s="1"/>
  <c r="J31" i="4"/>
  <c r="C31" i="4"/>
  <c r="D31" i="4" s="1"/>
  <c r="J30" i="4"/>
  <c r="C30" i="4"/>
  <c r="D30" i="4" s="1"/>
  <c r="J29" i="4"/>
  <c r="C29" i="4"/>
  <c r="D29" i="4" s="1"/>
  <c r="J28" i="4"/>
  <c r="C28" i="4"/>
  <c r="D28" i="4" s="1"/>
  <c r="J27" i="4"/>
  <c r="C27" i="4"/>
  <c r="D27" i="4" s="1"/>
  <c r="J26" i="4"/>
  <c r="C26" i="4"/>
  <c r="D26" i="4" s="1"/>
  <c r="J25" i="4"/>
  <c r="C25" i="4"/>
  <c r="D25" i="4" s="1"/>
  <c r="J24" i="4"/>
  <c r="C24" i="4"/>
  <c r="D24" i="4" s="1"/>
  <c r="J23" i="4"/>
  <c r="C23" i="4"/>
  <c r="D23" i="4" s="1"/>
  <c r="J22" i="4"/>
  <c r="C22" i="4"/>
  <c r="D22" i="4" s="1"/>
  <c r="J21" i="4"/>
  <c r="C21" i="4"/>
  <c r="D21" i="4" s="1"/>
  <c r="J20" i="4"/>
  <c r="C20" i="4"/>
  <c r="D20" i="4" s="1"/>
  <c r="J19" i="4"/>
  <c r="C19" i="4"/>
  <c r="D19" i="4" s="1"/>
  <c r="J18" i="4"/>
  <c r="C18" i="4"/>
  <c r="D18" i="4" s="1"/>
  <c r="J17" i="4"/>
  <c r="C17" i="4"/>
  <c r="D17" i="4" s="1"/>
  <c r="J16" i="4"/>
  <c r="C16" i="4"/>
  <c r="D16" i="4" s="1"/>
  <c r="J15" i="4"/>
  <c r="C15" i="4"/>
  <c r="D15" i="4" s="1"/>
  <c r="J14" i="4"/>
  <c r="C14" i="4"/>
  <c r="D14" i="4" s="1"/>
  <c r="J13" i="4"/>
  <c r="C13" i="4"/>
  <c r="D13" i="4" s="1"/>
  <c r="J12" i="4"/>
  <c r="C12" i="4"/>
  <c r="D12" i="4" s="1"/>
  <c r="J11" i="4"/>
  <c r="C11" i="4"/>
  <c r="D11" i="4" s="1"/>
  <c r="J10" i="4"/>
  <c r="C10" i="4"/>
  <c r="D10" i="4" s="1"/>
  <c r="J9" i="4"/>
  <c r="C9" i="4"/>
  <c r="D9" i="4" s="1"/>
  <c r="J8" i="4"/>
  <c r="C8" i="4"/>
  <c r="D8" i="4" s="1"/>
  <c r="J7" i="4"/>
  <c r="C7" i="4"/>
  <c r="D7" i="4" s="1"/>
  <c r="J6" i="4"/>
  <c r="C6" i="4"/>
  <c r="D6" i="4" s="1"/>
  <c r="J5" i="4"/>
  <c r="C5" i="4"/>
  <c r="D5" i="4" s="1"/>
  <c r="J4" i="4"/>
  <c r="C4" i="4"/>
  <c r="D4" i="4" s="1"/>
  <c r="J3" i="4"/>
  <c r="C3" i="4"/>
  <c r="D3" i="4" s="1"/>
  <c r="J2" i="4"/>
  <c r="E2" i="4"/>
  <c r="C2" i="4"/>
  <c r="D2" i="4" s="1"/>
  <c r="J35" i="3"/>
  <c r="C35" i="3"/>
  <c r="D35" i="3" s="1"/>
  <c r="J34" i="3"/>
  <c r="C34" i="3"/>
  <c r="D34" i="3" s="1"/>
  <c r="J33" i="3"/>
  <c r="C33" i="3"/>
  <c r="D33" i="3" s="1"/>
  <c r="J32" i="3"/>
  <c r="C32" i="3"/>
  <c r="D32" i="3" s="1"/>
  <c r="J31" i="3"/>
  <c r="C31" i="3"/>
  <c r="D31" i="3" s="1"/>
  <c r="J30" i="3"/>
  <c r="C30" i="3"/>
  <c r="D30" i="3" s="1"/>
  <c r="J29" i="3"/>
  <c r="C29" i="3"/>
  <c r="D29" i="3" s="1"/>
  <c r="J28" i="3"/>
  <c r="C28" i="3"/>
  <c r="D28" i="3" s="1"/>
  <c r="J27" i="3"/>
  <c r="C27" i="3"/>
  <c r="D27" i="3" s="1"/>
  <c r="J26" i="3"/>
  <c r="C26" i="3"/>
  <c r="D26" i="3" s="1"/>
  <c r="J25" i="3"/>
  <c r="C25" i="3"/>
  <c r="D25" i="3" s="1"/>
  <c r="J24" i="3"/>
  <c r="C24" i="3"/>
  <c r="D24" i="3" s="1"/>
  <c r="J23" i="3"/>
  <c r="C23" i="3"/>
  <c r="D23" i="3" s="1"/>
  <c r="J22" i="3"/>
  <c r="C22" i="3"/>
  <c r="D22" i="3" s="1"/>
  <c r="J21" i="3"/>
  <c r="C21" i="3"/>
  <c r="D21" i="3" s="1"/>
  <c r="J20" i="3"/>
  <c r="C20" i="3"/>
  <c r="D20" i="3" s="1"/>
  <c r="J19" i="3"/>
  <c r="C19" i="3"/>
  <c r="D19" i="3" s="1"/>
  <c r="J18" i="3"/>
  <c r="D18" i="3"/>
  <c r="C18" i="3"/>
  <c r="J17" i="3"/>
  <c r="C17" i="3"/>
  <c r="D17" i="3" s="1"/>
  <c r="J16" i="3"/>
  <c r="C16" i="3"/>
  <c r="D16" i="3" s="1"/>
  <c r="J15" i="3"/>
  <c r="C15" i="3"/>
  <c r="D15" i="3" s="1"/>
  <c r="J14" i="3"/>
  <c r="C14" i="3"/>
  <c r="D14" i="3" s="1"/>
  <c r="J13" i="3"/>
  <c r="C13" i="3"/>
  <c r="D13" i="3" s="1"/>
  <c r="J12" i="3"/>
  <c r="C12" i="3"/>
  <c r="D12" i="3" s="1"/>
  <c r="J11" i="3"/>
  <c r="D11" i="3"/>
  <c r="C11" i="3"/>
  <c r="J10" i="3"/>
  <c r="C10" i="3"/>
  <c r="D10" i="3" s="1"/>
  <c r="J9" i="3"/>
  <c r="C9" i="3"/>
  <c r="D9" i="3" s="1"/>
  <c r="J8" i="3"/>
  <c r="C8" i="3"/>
  <c r="D8" i="3" s="1"/>
  <c r="J7" i="3"/>
  <c r="C7" i="3"/>
  <c r="D7" i="3" s="1"/>
  <c r="J6" i="3"/>
  <c r="C6" i="3"/>
  <c r="D6" i="3" s="1"/>
  <c r="J5" i="3"/>
  <c r="C5" i="3"/>
  <c r="D5" i="3" s="1"/>
  <c r="J4" i="3"/>
  <c r="C4" i="3"/>
  <c r="D4" i="3" s="1"/>
  <c r="J3" i="3"/>
  <c r="C3" i="3"/>
  <c r="D3" i="3" s="1"/>
  <c r="J2" i="3"/>
  <c r="E2" i="3"/>
  <c r="C2" i="3"/>
  <c r="D2" i="3" s="1"/>
  <c r="J36" i="2"/>
  <c r="C36" i="2"/>
  <c r="D36" i="2" s="1"/>
  <c r="J35" i="2"/>
  <c r="C35" i="2"/>
  <c r="D35" i="2" s="1"/>
  <c r="J34" i="2"/>
  <c r="C34" i="2"/>
  <c r="D34" i="2" s="1"/>
  <c r="J33" i="2"/>
  <c r="C33" i="2"/>
  <c r="D33" i="2" s="1"/>
  <c r="J32" i="2"/>
  <c r="C32" i="2"/>
  <c r="D32" i="2" s="1"/>
  <c r="J31" i="2"/>
  <c r="C31" i="2"/>
  <c r="D31" i="2" s="1"/>
  <c r="J30" i="2"/>
  <c r="C30" i="2"/>
  <c r="D30" i="2" s="1"/>
  <c r="J29" i="2"/>
  <c r="C29" i="2"/>
  <c r="D29" i="2" s="1"/>
  <c r="J28" i="2"/>
  <c r="C28" i="2"/>
  <c r="D28" i="2" s="1"/>
  <c r="J27" i="2"/>
  <c r="C27" i="2"/>
  <c r="D27" i="2" s="1"/>
  <c r="J26" i="2"/>
  <c r="C26" i="2"/>
  <c r="D26" i="2" s="1"/>
  <c r="J25" i="2"/>
  <c r="D25" i="2"/>
  <c r="C25" i="2"/>
  <c r="J24" i="2"/>
  <c r="C24" i="2"/>
  <c r="D24" i="2" s="1"/>
  <c r="J23" i="2"/>
  <c r="C23" i="2"/>
  <c r="D23" i="2" s="1"/>
  <c r="J22" i="2"/>
  <c r="C22" i="2"/>
  <c r="D22" i="2" s="1"/>
  <c r="J21" i="2"/>
  <c r="C21" i="2"/>
  <c r="D21" i="2" s="1"/>
  <c r="J20" i="2"/>
  <c r="C20" i="2"/>
  <c r="D20" i="2" s="1"/>
  <c r="J19" i="2"/>
  <c r="C19" i="2"/>
  <c r="D19" i="2" s="1"/>
  <c r="J18" i="2"/>
  <c r="C18" i="2"/>
  <c r="D18" i="2" s="1"/>
  <c r="J17" i="2"/>
  <c r="C17" i="2"/>
  <c r="D17" i="2" s="1"/>
  <c r="J16" i="2"/>
  <c r="C16" i="2"/>
  <c r="D16" i="2" s="1"/>
  <c r="J15" i="2"/>
  <c r="C15" i="2"/>
  <c r="D15" i="2" s="1"/>
  <c r="J14" i="2"/>
  <c r="C14" i="2"/>
  <c r="D14" i="2" s="1"/>
  <c r="J13" i="2"/>
  <c r="C13" i="2"/>
  <c r="D13" i="2" s="1"/>
  <c r="J12" i="2"/>
  <c r="C12" i="2"/>
  <c r="D12" i="2" s="1"/>
  <c r="J11" i="2"/>
  <c r="C11" i="2"/>
  <c r="D11" i="2" s="1"/>
  <c r="J10" i="2"/>
  <c r="C10" i="2"/>
  <c r="D10" i="2" s="1"/>
  <c r="J9" i="2"/>
  <c r="C9" i="2"/>
  <c r="D9" i="2" s="1"/>
  <c r="J8" i="2"/>
  <c r="C8" i="2"/>
  <c r="D8" i="2" s="1"/>
  <c r="J7" i="2"/>
  <c r="C7" i="2"/>
  <c r="D7" i="2" s="1"/>
  <c r="J6" i="2"/>
  <c r="C6" i="2"/>
  <c r="D6" i="2" s="1"/>
  <c r="J5" i="2"/>
  <c r="E5" i="2"/>
  <c r="C5" i="2"/>
  <c r="D5" i="2" s="1"/>
  <c r="J4" i="2"/>
  <c r="E4" i="2"/>
  <c r="C4" i="2"/>
  <c r="D4" i="2" s="1"/>
  <c r="J3" i="2"/>
  <c r="E3" i="2"/>
  <c r="C3" i="2"/>
  <c r="D3" i="2" s="1"/>
  <c r="J2" i="2"/>
  <c r="E2" i="2"/>
  <c r="C2" i="2"/>
  <c r="D2" i="2" s="1"/>
</calcChain>
</file>

<file path=xl/sharedStrings.xml><?xml version="1.0" encoding="utf-8"?>
<sst xmlns="http://schemas.openxmlformats.org/spreadsheetml/2006/main" count="1534" uniqueCount="707">
  <si>
    <t>Horodateur</t>
  </si>
  <si>
    <t>Choisir votre classe</t>
  </si>
  <si>
    <t>Choisir votre nom et prénom</t>
  </si>
  <si>
    <t>Choisir votre atelier</t>
  </si>
  <si>
    <t>Seconde 1</t>
  </si>
  <si>
    <t>SIMONIN FAUSTINE</t>
  </si>
  <si>
    <t>Anglais</t>
  </si>
  <si>
    <t>BALK CLEMENTINE</t>
  </si>
  <si>
    <t>Seconde 5</t>
  </si>
  <si>
    <t>KERMARREC ENZO</t>
  </si>
  <si>
    <t>Maths 1 : Pourcentages</t>
  </si>
  <si>
    <t>Seconde 4</t>
  </si>
  <si>
    <t>TREDUNIT CHLOE</t>
  </si>
  <si>
    <t>Maths 1 : pourcentages</t>
  </si>
  <si>
    <t>SOUBIGOU-BÉRÉ MAÏWENN</t>
  </si>
  <si>
    <t>Seconde 3</t>
  </si>
  <si>
    <t>GUENEE EWAN</t>
  </si>
  <si>
    <t>GUILLON THOMAS</t>
  </si>
  <si>
    <t>BIPAN ALEXANDRA</t>
  </si>
  <si>
    <t>DA CRUZ SHANA</t>
  </si>
  <si>
    <t>GUILCHER OSCAR</t>
  </si>
  <si>
    <t>Maths 2 :</t>
  </si>
  <si>
    <t>BERTHELOT-MOAL MARGAUX</t>
  </si>
  <si>
    <t>Histoire</t>
  </si>
  <si>
    <t>FRANCISQUE CHRIS ELY</t>
  </si>
  <si>
    <t>Physique : faire un graphique</t>
  </si>
  <si>
    <t>Seconde 7</t>
  </si>
  <si>
    <t>BAILLIACHE MATHYS</t>
  </si>
  <si>
    <t>Seconde 6</t>
  </si>
  <si>
    <t>BENANTAR WAKIL</t>
  </si>
  <si>
    <t>Espagnol</t>
  </si>
  <si>
    <t>ALLEGOET EMELINE</t>
  </si>
  <si>
    <t>LE GALL CLERVIE</t>
  </si>
  <si>
    <t>MASSA EUGENIE</t>
  </si>
  <si>
    <t>GUYOT YOHANN</t>
  </si>
  <si>
    <t>Seconde 2</t>
  </si>
  <si>
    <t>DAMOUR LUDIVINE</t>
  </si>
  <si>
    <t>ROMEUR ESTEBAN</t>
  </si>
  <si>
    <t>BOUDOUL NOÉMIE</t>
  </si>
  <si>
    <t>DENIEL CLEMENCE</t>
  </si>
  <si>
    <t>BESSIERE JADE</t>
  </si>
  <si>
    <t>QUÉMERAS FÉLIX</t>
  </si>
  <si>
    <t>LEUNG DELPHINE</t>
  </si>
  <si>
    <t>BARRY CLARA</t>
  </si>
  <si>
    <t>BINET ANTOINE</t>
  </si>
  <si>
    <t>TROMEUR JUSTINE</t>
  </si>
  <si>
    <t>TAILLANT ARTHUR</t>
  </si>
  <si>
    <t>DEMILIER CHARLOTTE</t>
  </si>
  <si>
    <t>ZHU LAURENT</t>
  </si>
  <si>
    <t>NGUYEN ARNAUD</t>
  </si>
  <si>
    <t>CLAQUIN ANNA</t>
  </si>
  <si>
    <t>BERTHOULOUX EVE</t>
  </si>
  <si>
    <t>FOLL ENZO</t>
  </si>
  <si>
    <t>CHARTRON KILLIAN</t>
  </si>
  <si>
    <t>QUÉRÉ ANAÏS</t>
  </si>
  <si>
    <t>BENOIST BERTILLE</t>
  </si>
  <si>
    <t>PAIX ELYOTT</t>
  </si>
  <si>
    <t>MARGARIT MAINA</t>
  </si>
  <si>
    <t>BERGOT BAPTISTE</t>
  </si>
  <si>
    <t>Français</t>
  </si>
  <si>
    <t>BONNIVEN EWEN</t>
  </si>
  <si>
    <t>Physique</t>
  </si>
  <si>
    <t>LE TORTOREC -PERRIER HAYA</t>
  </si>
  <si>
    <t>COBERT SWANN</t>
  </si>
  <si>
    <t>LORINQUER NORA</t>
  </si>
  <si>
    <t>MARTIN CLARA</t>
  </si>
  <si>
    <t>KERGARAVAT-REINHARD THÉO</t>
  </si>
  <si>
    <t>BOUREY ALEXIS</t>
  </si>
  <si>
    <t>BRYCKAERT FLORE</t>
  </si>
  <si>
    <t>TIXIER ARTHUR</t>
  </si>
  <si>
    <t>LAMBERT STERENN</t>
  </si>
  <si>
    <t>GUILLOU AMANDINE</t>
  </si>
  <si>
    <t>QUÉRÉ LUCIE</t>
  </si>
  <si>
    <t>COLLETER ZOÉ</t>
  </si>
  <si>
    <t>COPIN MAILYS</t>
  </si>
  <si>
    <t>ALIAMANI SALOU ANAËLLE</t>
  </si>
  <si>
    <t>INIZAN LISA</t>
  </si>
  <si>
    <t>CORRE JEANNETTE</t>
  </si>
  <si>
    <t>MARCO CHLOÉ</t>
  </si>
  <si>
    <t>BARILLER MARGAUX</t>
  </si>
  <si>
    <t>DELARUE MATHYS</t>
  </si>
  <si>
    <t>ROUMP PÉNÉLOPE</t>
  </si>
  <si>
    <t>HICHER PAULINE</t>
  </si>
  <si>
    <t>KERNEIS JULIETTE</t>
  </si>
  <si>
    <t>GOURMELON QUENTIN</t>
  </si>
  <si>
    <t>PARISOT VINCENT</t>
  </si>
  <si>
    <t>BANNIER ALEXANDRE</t>
  </si>
  <si>
    <t>GUEMAS ARMEL</t>
  </si>
  <si>
    <t>WILLIAMS ELODIE</t>
  </si>
  <si>
    <t>DAVID CAMILLE</t>
  </si>
  <si>
    <t>BRINTET VIOLETTE</t>
  </si>
  <si>
    <t>HURIER THÉO</t>
  </si>
  <si>
    <t>PERON LENA</t>
  </si>
  <si>
    <t>LEVASSORT LOUISE</t>
  </si>
  <si>
    <t>LE ROUX ELOANE</t>
  </si>
  <si>
    <t>MATTEOTTI TESS</t>
  </si>
  <si>
    <t>VIGILE LUCAS</t>
  </si>
  <si>
    <t>PARGNY ZOE</t>
  </si>
  <si>
    <t>LE BARS JADE</t>
  </si>
  <si>
    <t>FOURN LOANE</t>
  </si>
  <si>
    <t>BODENES AÉSA</t>
  </si>
  <si>
    <t>NORPAN PREETI</t>
  </si>
  <si>
    <t>SEVERE PIERRE-LOUP</t>
  </si>
  <si>
    <t>DANIEL MATHILDE</t>
  </si>
  <si>
    <t>DUBOSSE LAURENA</t>
  </si>
  <si>
    <t>HELIAS ELENA</t>
  </si>
  <si>
    <t>BRIGE ANTHONY</t>
  </si>
  <si>
    <t>JOSSELIN ALEXANDRE</t>
  </si>
  <si>
    <t>APPRIOU PIERRE</t>
  </si>
  <si>
    <t>Math 2:</t>
  </si>
  <si>
    <t>ARGOULON JEAN-CAMILLE</t>
  </si>
  <si>
    <t>DIOULOU JEZEQUEL JEAN</t>
  </si>
  <si>
    <t>DAMOUR LOANE</t>
  </si>
  <si>
    <t>JAFFRE LUCAS</t>
  </si>
  <si>
    <t>FARRET CASSANDRE</t>
  </si>
  <si>
    <t>LACIRE AUDREY</t>
  </si>
  <si>
    <t>JEZEQUEL MARGAUX</t>
  </si>
  <si>
    <t>KERAGARAVAT-REINHARD LUCAS</t>
  </si>
  <si>
    <t>HEIMBERGER MALO</t>
  </si>
  <si>
    <t>GALLON FÉCHANT LOUISE</t>
  </si>
  <si>
    <t>SAINT LANNE BETH RAPHAËL</t>
  </si>
  <si>
    <t>TABUREL ROSALIE</t>
  </si>
  <si>
    <t>NUNES MATTÉO</t>
  </si>
  <si>
    <t>BOURHIS NOREEN</t>
  </si>
  <si>
    <t>GUÉRARD CAMILLE</t>
  </si>
  <si>
    <t>VIGOUROUX PIERRE</t>
  </si>
  <si>
    <t>PRIEUR ANTOINE</t>
  </si>
  <si>
    <t>MORVAN MAËLYS</t>
  </si>
  <si>
    <t>RENAULT LILY</t>
  </si>
  <si>
    <t>BELLEC INÈS</t>
  </si>
  <si>
    <t>SPACENSKY JEANNE</t>
  </si>
  <si>
    <t>MARTINEZ VINCENT</t>
  </si>
  <si>
    <t>DIAS GOMES FABIO</t>
  </si>
  <si>
    <t>CHAMPS JUSTINE</t>
  </si>
  <si>
    <t>GUENEE CARLA</t>
  </si>
  <si>
    <t>CHIRON PAOLO</t>
  </si>
  <si>
    <t>SALIOU ANGÉLIQUE</t>
  </si>
  <si>
    <t>LE GOFF GABRIEL</t>
  </si>
  <si>
    <t>BLEUNVEN LUCILE</t>
  </si>
  <si>
    <t>GLAIS ELLYNN</t>
  </si>
  <si>
    <t>LE ROUX CHLOÉ</t>
  </si>
  <si>
    <t>CRISTOFIS IONA</t>
  </si>
  <si>
    <t>PHILIP L'HENAFF Mila</t>
  </si>
  <si>
    <t>BOUYAZRA CHAÏMA</t>
  </si>
  <si>
    <t>MENOU YANIS</t>
  </si>
  <si>
    <t>SQUIBAN ENORA</t>
  </si>
  <si>
    <t>JACOB LAURE</t>
  </si>
  <si>
    <t>BERTHELOT CAMILLE</t>
  </si>
  <si>
    <t>LANGLOIS JULIANNE</t>
  </si>
  <si>
    <t>JAIN EWEN</t>
  </si>
  <si>
    <t>HACHE MARIN</t>
  </si>
  <si>
    <t>BRISSON JONAS</t>
  </si>
  <si>
    <t>BAUMANN JONATHAN</t>
  </si>
  <si>
    <t>LE BIHAN FLAVIE</t>
  </si>
  <si>
    <t>DIELENSCHNEIDER ARTHUR</t>
  </si>
  <si>
    <t>PROVOST ARTHUR</t>
  </si>
  <si>
    <t>PIAT MAELENN</t>
  </si>
  <si>
    <t>SPARFEL YOUNA</t>
  </si>
  <si>
    <t>GARCIA LEANE</t>
  </si>
  <si>
    <t>GREZEL NATHAN</t>
  </si>
  <si>
    <t>LE BARS MATHIS</t>
  </si>
  <si>
    <t>CLAUDE CLÉLIA</t>
  </si>
  <si>
    <t>SOUBIGOU--BÉRÉ JEAN</t>
  </si>
  <si>
    <t>CREACHCADEC QUENTIN</t>
  </si>
  <si>
    <t>BODILIS THOMAS</t>
  </si>
  <si>
    <t>BOURDET QUEGUINER HUGO</t>
  </si>
  <si>
    <t>Maths 2</t>
  </si>
  <si>
    <t>DEROEUX PIERRE-ANTOINE</t>
  </si>
  <si>
    <t>BODIGUEL JULES</t>
  </si>
  <si>
    <t>CABIOCH YANIS</t>
  </si>
  <si>
    <t>LE GALL MATTÉO</t>
  </si>
  <si>
    <t>ROPARS JANELLE</t>
  </si>
  <si>
    <t>BERTHOULOUX NOEMIE</t>
  </si>
  <si>
    <t>SIMIER GAÏDIG</t>
  </si>
  <si>
    <t>GOURMELON LILOUE</t>
  </si>
  <si>
    <t>GAREL MARTIN</t>
  </si>
  <si>
    <t>DUVAL MÉLISSA</t>
  </si>
  <si>
    <t>SCHOLTÈS EWEN</t>
  </si>
  <si>
    <t>LE BOHEC MATTHIEU</t>
  </si>
  <si>
    <t>SENECHAL ELIJAH</t>
  </si>
  <si>
    <t>SVT</t>
  </si>
  <si>
    <t>LE ROUX LILIAN</t>
  </si>
  <si>
    <t>MOAL ANDREA</t>
  </si>
  <si>
    <t>LE GOFF CLARA</t>
  </si>
  <si>
    <t>CONORT ALBAN</t>
  </si>
  <si>
    <t>LE MOIGNE SIMON</t>
  </si>
  <si>
    <t>LE SCAO ETIENNE</t>
  </si>
  <si>
    <t>COLIN ALESIA</t>
  </si>
  <si>
    <t>GREZEL CHLOÉ</t>
  </si>
  <si>
    <t>RAGUENES ADÈLE</t>
  </si>
  <si>
    <t>STEENBERGEN TESSA</t>
  </si>
  <si>
    <t>CLIQUET ILHAME</t>
  </si>
  <si>
    <t>BANZOUZI KOUB</t>
  </si>
  <si>
    <t>GUERIN THIBAULT</t>
  </si>
  <si>
    <t>FIX MANON</t>
  </si>
  <si>
    <t>QUELLEC GABRIEL</t>
  </si>
  <si>
    <t>IRONMONGER MATHIS</t>
  </si>
  <si>
    <t>BALCON ELSA</t>
  </si>
  <si>
    <t>MAGUET ELSA</t>
  </si>
  <si>
    <t>COLLIOU ACHILLE</t>
  </si>
  <si>
    <t>QUERNÉ ILONA</t>
  </si>
  <si>
    <t>SVT : lecture de consignes</t>
  </si>
  <si>
    <t>BEAL ALEXIS</t>
  </si>
  <si>
    <t>BERREGARD YANIS</t>
  </si>
  <si>
    <t>BOURLIER GABRIEL</t>
  </si>
  <si>
    <t>GUÉGUEN PAUL</t>
  </si>
  <si>
    <t>KERREST MARGOT</t>
  </si>
  <si>
    <t>HINTON TOM</t>
  </si>
  <si>
    <t>BRUNET PAUL</t>
  </si>
  <si>
    <t>MARZIN CLET</t>
  </si>
  <si>
    <t>CHARRIER GATIEN</t>
  </si>
  <si>
    <t>GUILLOU STEVEN</t>
  </si>
  <si>
    <t>ROCHCONGAR LOU</t>
  </si>
  <si>
    <t>GUIVARCH LUCAS</t>
  </si>
  <si>
    <t>LE MENN THAÏS</t>
  </si>
  <si>
    <t>BELLAIS JULES</t>
  </si>
  <si>
    <t>MELUSE ALEXANDRE</t>
  </si>
  <si>
    <t>GOURMELON GABIN</t>
  </si>
  <si>
    <t>LE ROUX CHARLENE</t>
  </si>
  <si>
    <t>GOACHET CÉLIA</t>
  </si>
  <si>
    <t>BERNICOT YOUENN</t>
  </si>
  <si>
    <t>BASTIONI ROMANE</t>
  </si>
  <si>
    <t>CAROFF BRIEUC</t>
  </si>
  <si>
    <t>MULLIEZ JOSEPH</t>
  </si>
  <si>
    <t>ANDRÉ ROMAIN</t>
  </si>
  <si>
    <t>CHOMEL MARINE</t>
  </si>
  <si>
    <t>MENARD MARTIN</t>
  </si>
  <si>
    <t>BOUCHER LÉA</t>
  </si>
  <si>
    <t>LEMORT ELISE</t>
  </si>
  <si>
    <t>BOUCHER JADE</t>
  </si>
  <si>
    <t>L HARIDON NATACHA</t>
  </si>
  <si>
    <t>JANEIRO-FORTES MALO</t>
  </si>
  <si>
    <t>SOUFFES DESPRE PAUL</t>
  </si>
  <si>
    <t>LE COAT THOMAS</t>
  </si>
  <si>
    <t>LE HIR MAUREEN</t>
  </si>
  <si>
    <t>DUMERVAL ATHENAÎS</t>
  </si>
  <si>
    <t>SAILLANT LUNA</t>
  </si>
  <si>
    <t>LE BORGNE--SALAÜN VICTOR</t>
  </si>
  <si>
    <t>CRENN DAMIEN</t>
  </si>
  <si>
    <t>ROUGIER SERVANE</t>
  </si>
  <si>
    <t>BOUYDOUNAN JIHAD</t>
  </si>
  <si>
    <t>MARTINS MAÏA</t>
  </si>
  <si>
    <t>THUILLIER ROMAIN</t>
  </si>
  <si>
    <t>DUVAL EWAN</t>
  </si>
  <si>
    <t>CASTETS KÉTIARA</t>
  </si>
  <si>
    <t>BOYÉ ROSALIE</t>
  </si>
  <si>
    <t>STÉPHANUS AÉLIA</t>
  </si>
  <si>
    <t>LE BAYON MATHIEU</t>
  </si>
  <si>
    <t>GUILLON RONAN</t>
  </si>
  <si>
    <t>CADIEU LOANE</t>
  </si>
  <si>
    <t>JURRIUS PAULINE</t>
  </si>
  <si>
    <t>CARBOULEC PÉNÉLOPE</t>
  </si>
  <si>
    <t>Nom et prénom</t>
  </si>
  <si>
    <t>Limite</t>
  </si>
  <si>
    <t>Inscriptions</t>
  </si>
  <si>
    <t>Dispponibilité</t>
  </si>
  <si>
    <t>Formranger</t>
  </si>
  <si>
    <t>ALLEGOET</t>
  </si>
  <si>
    <t>EMELINE</t>
  </si>
  <si>
    <t>ARGOULON</t>
  </si>
  <si>
    <t>Jean-Camille</t>
  </si>
  <si>
    <t>BALK</t>
  </si>
  <si>
    <t>CLEMENTINE</t>
  </si>
  <si>
    <t>Berthelot-Moal</t>
  </si>
  <si>
    <t>Margaux</t>
  </si>
  <si>
    <t>BERTHOULOUX</t>
  </si>
  <si>
    <t>EVE</t>
  </si>
  <si>
    <t>BINET</t>
  </si>
  <si>
    <t>ANTOINE</t>
  </si>
  <si>
    <t>Cabioch</t>
  </si>
  <si>
    <t>Yanis</t>
  </si>
  <si>
    <t>CHESNEL JULIEN</t>
  </si>
  <si>
    <t>CHESNEL</t>
  </si>
  <si>
    <t>JULIEN</t>
  </si>
  <si>
    <t>CLIQUET</t>
  </si>
  <si>
    <t>ILHAME</t>
  </si>
  <si>
    <t>COLLIOU</t>
  </si>
  <si>
    <t>Achille</t>
  </si>
  <si>
    <t>copin</t>
  </si>
  <si>
    <t>mailys</t>
  </si>
  <si>
    <t>DACLIN GRÉGOIRE</t>
  </si>
  <si>
    <t>DACLIN</t>
  </si>
  <si>
    <t>Grégoire</t>
  </si>
  <si>
    <t>GRISEL JULIEN</t>
  </si>
  <si>
    <t>GRISEL</t>
  </si>
  <si>
    <t>GUEMAS</t>
  </si>
  <si>
    <t>ARMEL</t>
  </si>
  <si>
    <t>HELIAS</t>
  </si>
  <si>
    <t>ELENA</t>
  </si>
  <si>
    <t>Ironmonger</t>
  </si>
  <si>
    <t>Mathis</t>
  </si>
  <si>
    <t>KOWALSKI VICTOIRE</t>
  </si>
  <si>
    <t>Kowalski</t>
  </si>
  <si>
    <t>Victoire</t>
  </si>
  <si>
    <t>Le Bihan</t>
  </si>
  <si>
    <t>Flavie</t>
  </si>
  <si>
    <t>Le Menn</t>
  </si>
  <si>
    <t>Thaïs</t>
  </si>
  <si>
    <t>MAGUET</t>
  </si>
  <si>
    <t>Elsa</t>
  </si>
  <si>
    <t>MARTIN</t>
  </si>
  <si>
    <t>Clara</t>
  </si>
  <si>
    <t>Martins</t>
  </si>
  <si>
    <t>Maïa</t>
  </si>
  <si>
    <t>MARZIN</t>
  </si>
  <si>
    <t>CLET</t>
  </si>
  <si>
    <t>MELUSE</t>
  </si>
  <si>
    <t>Alexandre</t>
  </si>
  <si>
    <t>Morvan</t>
  </si>
  <si>
    <t>Maëlys</t>
  </si>
  <si>
    <t>Nguyen</t>
  </si>
  <si>
    <t>Arnaud</t>
  </si>
  <si>
    <t>Querné</t>
  </si>
  <si>
    <t>Ilona</t>
  </si>
  <si>
    <t>Raguenes</t>
  </si>
  <si>
    <t>Adèle</t>
  </si>
  <si>
    <t>Ropars</t>
  </si>
  <si>
    <t>Janelle</t>
  </si>
  <si>
    <t>SIMONIN</t>
  </si>
  <si>
    <t>FAUSTINE</t>
  </si>
  <si>
    <t>SOUBIGOU-BÉRÉ</t>
  </si>
  <si>
    <t>Maïwenn, Nayolse, Ornélia</t>
  </si>
  <si>
    <t>STEENBERGEN</t>
  </si>
  <si>
    <t>Tessa</t>
  </si>
  <si>
    <t>TAILLANT</t>
  </si>
  <si>
    <t>ARTHUR</t>
  </si>
  <si>
    <t>Tromeur</t>
  </si>
  <si>
    <t>Justine</t>
  </si>
  <si>
    <t>VIGILE</t>
  </si>
  <si>
    <t>LUCAS</t>
  </si>
  <si>
    <t>André</t>
  </si>
  <si>
    <t>Romain</t>
  </si>
  <si>
    <t>Appriou</t>
  </si>
  <si>
    <t>Pierre</t>
  </si>
  <si>
    <t>BANZOUZI</t>
  </si>
  <si>
    <t>KOUB</t>
  </si>
  <si>
    <t>Bariller</t>
  </si>
  <si>
    <t>Baumann</t>
  </si>
  <si>
    <t>Jonathan</t>
  </si>
  <si>
    <t>BERGOT</t>
  </si>
  <si>
    <t>BAPTISTE</t>
  </si>
  <si>
    <t>BODENES</t>
  </si>
  <si>
    <t>Aésa</t>
  </si>
  <si>
    <t>BONNIVEN</t>
  </si>
  <si>
    <t>EWEN</t>
  </si>
  <si>
    <t>BOURHIS</t>
  </si>
  <si>
    <t>NOREEN</t>
  </si>
  <si>
    <t>Brintet</t>
  </si>
  <si>
    <t>violette</t>
  </si>
  <si>
    <t>COLIN</t>
  </si>
  <si>
    <t>ALESIA</t>
  </si>
  <si>
    <t>DAMOUR</t>
  </si>
  <si>
    <t>Ludivine</t>
  </si>
  <si>
    <t>DANIEL</t>
  </si>
  <si>
    <t>Mathilde</t>
  </si>
  <si>
    <t>DELARUE</t>
  </si>
  <si>
    <t>Mathys</t>
  </si>
  <si>
    <t>DEMILIER</t>
  </si>
  <si>
    <t>CHARLOTTE</t>
  </si>
  <si>
    <t>Garel</t>
  </si>
  <si>
    <t>Martin</t>
  </si>
  <si>
    <t>Gourmelon</t>
  </si>
  <si>
    <t>Liloue</t>
  </si>
  <si>
    <t>GUILCHER ETIENNE</t>
  </si>
  <si>
    <t>Roump</t>
  </si>
  <si>
    <t>Pénélope</t>
  </si>
  <si>
    <t>Guilcher</t>
  </si>
  <si>
    <t>Etienne</t>
  </si>
  <si>
    <t>Hache</t>
  </si>
  <si>
    <t>Marin</t>
  </si>
  <si>
    <t>HICHER</t>
  </si>
  <si>
    <t>PAULINE</t>
  </si>
  <si>
    <t>Langlois</t>
  </si>
  <si>
    <t>Julianne</t>
  </si>
  <si>
    <t>LE BARS</t>
  </si>
  <si>
    <t>MATHIS</t>
  </si>
  <si>
    <t>Le Roux</t>
  </si>
  <si>
    <t>Eloane</t>
  </si>
  <si>
    <t>LEVASSORT</t>
  </si>
  <si>
    <t>Louise</t>
  </si>
  <si>
    <t>PARISOT</t>
  </si>
  <si>
    <t>VINCENT</t>
  </si>
  <si>
    <t>PERON</t>
  </si>
  <si>
    <t>Lena</t>
  </si>
  <si>
    <t>Provost</t>
  </si>
  <si>
    <t>Arthur</t>
  </si>
  <si>
    <t>SAINT LANNE BETH</t>
  </si>
  <si>
    <t>RAPHAËL</t>
  </si>
  <si>
    <t>Saliou</t>
  </si>
  <si>
    <t>Angélique</t>
  </si>
  <si>
    <t>SPARFEL</t>
  </si>
  <si>
    <t>Youna</t>
  </si>
  <si>
    <t>Taburel</t>
  </si>
  <si>
    <t>Rosalie</t>
  </si>
  <si>
    <t>vigouroux</t>
  </si>
  <si>
    <t>pierre</t>
  </si>
  <si>
    <t>williams</t>
  </si>
  <si>
    <t>Elodie</t>
  </si>
  <si>
    <t>ALIAMANI SALOU</t>
  </si>
  <si>
    <t>Anaëlle</t>
  </si>
  <si>
    <t>BARRY</t>
  </si>
  <si>
    <t>Bellais</t>
  </si>
  <si>
    <t>Jules</t>
  </si>
  <si>
    <t>BENOIST</t>
  </si>
  <si>
    <t>Bertille</t>
  </si>
  <si>
    <t>BERREGARD</t>
  </si>
  <si>
    <t>BESSIERE</t>
  </si>
  <si>
    <t>Jade</t>
  </si>
  <si>
    <t>BODILIS</t>
  </si>
  <si>
    <t>THOMAS</t>
  </si>
  <si>
    <t>Boudoul</t>
  </si>
  <si>
    <t>Noémie</t>
  </si>
  <si>
    <t>BOUREY</t>
  </si>
  <si>
    <t>ALEXIS</t>
  </si>
  <si>
    <t>Bouyazra</t>
  </si>
  <si>
    <t>Chaïma</t>
  </si>
  <si>
    <t>Bryckaert</t>
  </si>
  <si>
    <t>Flore</t>
  </si>
  <si>
    <t>claquin</t>
  </si>
  <si>
    <t>anna</t>
  </si>
  <si>
    <t>CLAUDE</t>
  </si>
  <si>
    <t>Clélia</t>
  </si>
  <si>
    <t>Cobert</t>
  </si>
  <si>
    <t>Swann</t>
  </si>
  <si>
    <t>Loane</t>
  </si>
  <si>
    <t>DAVID</t>
  </si>
  <si>
    <t>Camille</t>
  </si>
  <si>
    <t>Gallon Féchant</t>
  </si>
  <si>
    <t>GUENEE</t>
  </si>
  <si>
    <t>EWAN</t>
  </si>
  <si>
    <t>Guérard</t>
  </si>
  <si>
    <t>GUILCHER</t>
  </si>
  <si>
    <t>Oscar</t>
  </si>
  <si>
    <t>Guillou</t>
  </si>
  <si>
    <t>Amandine</t>
  </si>
  <si>
    <t>JOSSELIN</t>
  </si>
  <si>
    <t>ALEXANDRE</t>
  </si>
  <si>
    <t>LACIRE</t>
  </si>
  <si>
    <t>Audrey</t>
  </si>
  <si>
    <t>Lambert</t>
  </si>
  <si>
    <t>Sterenn</t>
  </si>
  <si>
    <t>Le Tortorec -Perrier</t>
  </si>
  <si>
    <t>Haya</t>
  </si>
  <si>
    <t>LEUNG</t>
  </si>
  <si>
    <t>Delphine</t>
  </si>
  <si>
    <t>MARGARIT</t>
  </si>
  <si>
    <t>MAINA</t>
  </si>
  <si>
    <t>Massa</t>
  </si>
  <si>
    <t>Eugenie</t>
  </si>
  <si>
    <t>NORPAN</t>
  </si>
  <si>
    <t>Preeti</t>
  </si>
  <si>
    <t>PAIX</t>
  </si>
  <si>
    <t>ELYOTT</t>
  </si>
  <si>
    <t>Quémeras</t>
  </si>
  <si>
    <t>Félix</t>
  </si>
  <si>
    <t>Romeur</t>
  </si>
  <si>
    <t>Esteban</t>
  </si>
  <si>
    <t>SEVERE</t>
  </si>
  <si>
    <t>PIERRE-LOUP</t>
  </si>
  <si>
    <t>Tixier</t>
  </si>
  <si>
    <t>Zhu</t>
  </si>
  <si>
    <t>Laurent</t>
  </si>
  <si>
    <t>Bannier</t>
  </si>
  <si>
    <t>BELLEC</t>
  </si>
  <si>
    <t>Inès</t>
  </si>
  <si>
    <t>BERNICOT</t>
  </si>
  <si>
    <t>YOUENN</t>
  </si>
  <si>
    <t>BODIGUEL</t>
  </si>
  <si>
    <t>JULES</t>
  </si>
  <si>
    <t>BOURLIER</t>
  </si>
  <si>
    <t>GABRIEL</t>
  </si>
  <si>
    <t>Brunet</t>
  </si>
  <si>
    <t>Paul</t>
  </si>
  <si>
    <t>Cadieu</t>
  </si>
  <si>
    <t>CHARRIER</t>
  </si>
  <si>
    <t>GATIEN</t>
  </si>
  <si>
    <t>CHIRON</t>
  </si>
  <si>
    <t>Paolo</t>
  </si>
  <si>
    <t>Corre</t>
  </si>
  <si>
    <t>Jeannette</t>
  </si>
  <si>
    <t>Da Cruz</t>
  </si>
  <si>
    <t>Shana</t>
  </si>
  <si>
    <t>DENIEL</t>
  </si>
  <si>
    <t>CLEMENCE</t>
  </si>
  <si>
    <t>Dias Gomes</t>
  </si>
  <si>
    <t>Fabio</t>
  </si>
  <si>
    <t>FOURN</t>
  </si>
  <si>
    <t>GAUBERT MAXIME</t>
  </si>
  <si>
    <t>Gaubert</t>
  </si>
  <si>
    <t>Maxime</t>
  </si>
  <si>
    <t>GOACHET</t>
  </si>
  <si>
    <t>Célia</t>
  </si>
  <si>
    <t>Gabin</t>
  </si>
  <si>
    <t>Grezel</t>
  </si>
  <si>
    <t>Nathan</t>
  </si>
  <si>
    <t>Guéguen</t>
  </si>
  <si>
    <t>Steven</t>
  </si>
  <si>
    <t>Guivarch</t>
  </si>
  <si>
    <t>Lucas</t>
  </si>
  <si>
    <t>Heimberger</t>
  </si>
  <si>
    <t>Malo</t>
  </si>
  <si>
    <t>Le Cars</t>
  </si>
  <si>
    <t>Tanguy</t>
  </si>
  <si>
    <t>LE GOFF</t>
  </si>
  <si>
    <t>LE ROUX</t>
  </si>
  <si>
    <t>CHARLENE</t>
  </si>
  <si>
    <t>Chloé</t>
  </si>
  <si>
    <t>MARTINEZ</t>
  </si>
  <si>
    <t>MATTEOTTI</t>
  </si>
  <si>
    <t>TESS</t>
  </si>
  <si>
    <t>MENOU</t>
  </si>
  <si>
    <t>Quéré</t>
  </si>
  <si>
    <t>Anaïs</t>
  </si>
  <si>
    <t>Renault</t>
  </si>
  <si>
    <t>Lily</t>
  </si>
  <si>
    <t>SOUBIGOU--BÉRÉ</t>
  </si>
  <si>
    <t>JEAN NAZEMSE GWENNAEL</t>
  </si>
  <si>
    <t>SQUIBAN</t>
  </si>
  <si>
    <t>ENORA</t>
  </si>
  <si>
    <t>TREDUNIT</t>
  </si>
  <si>
    <t>Chloe</t>
  </si>
  <si>
    <t>bipan</t>
  </si>
  <si>
    <t>alexandra</t>
  </si>
  <si>
    <t>BRISSON</t>
  </si>
  <si>
    <t>Jonas</t>
  </si>
  <si>
    <t>CHARTRON</t>
  </si>
  <si>
    <t>Killian</t>
  </si>
  <si>
    <t>Colleter</t>
  </si>
  <si>
    <t>Zoé</t>
  </si>
  <si>
    <t>CREACHCADEC</t>
  </si>
  <si>
    <t>QUENTIN</t>
  </si>
  <si>
    <t>CRISTOFIS</t>
  </si>
  <si>
    <t>Iona</t>
  </si>
  <si>
    <t>DIOULOU JEZEQUEL</t>
  </si>
  <si>
    <t>JEAN</t>
  </si>
  <si>
    <t>dubosse</t>
  </si>
  <si>
    <t>laurena</t>
  </si>
  <si>
    <t>Duval</t>
  </si>
  <si>
    <t>mélissa</t>
  </si>
  <si>
    <t>Francisque</t>
  </si>
  <si>
    <t>Chris Ely</t>
  </si>
  <si>
    <t>Glais</t>
  </si>
  <si>
    <t>Ellynn</t>
  </si>
  <si>
    <t>GOURMELON</t>
  </si>
  <si>
    <t>Guillon</t>
  </si>
  <si>
    <t>Thomas</t>
  </si>
  <si>
    <t>Guyot</t>
  </si>
  <si>
    <t>Yohann</t>
  </si>
  <si>
    <t>Hinton</t>
  </si>
  <si>
    <t>Tom</t>
  </si>
  <si>
    <t>HURIER</t>
  </si>
  <si>
    <t>Théo</t>
  </si>
  <si>
    <t>Inizan</t>
  </si>
  <si>
    <t>Lisa</t>
  </si>
  <si>
    <t>Jacob</t>
  </si>
  <si>
    <t>Laure</t>
  </si>
  <si>
    <t>JAFFRE</t>
  </si>
  <si>
    <t>JAIN</t>
  </si>
  <si>
    <t>Marc</t>
  </si>
  <si>
    <t>KERAGARAVAT-REINHARD</t>
  </si>
  <si>
    <t>KERGARAVAT-REINHARD</t>
  </si>
  <si>
    <t>THÉO</t>
  </si>
  <si>
    <t>KERMARREC</t>
  </si>
  <si>
    <t>Enzo</t>
  </si>
  <si>
    <t>Kerneis</t>
  </si>
  <si>
    <t>Juliette</t>
  </si>
  <si>
    <t>Le BOHEC</t>
  </si>
  <si>
    <t>Matthieu</t>
  </si>
  <si>
    <t>Le Gall</t>
  </si>
  <si>
    <t>Mattéo</t>
  </si>
  <si>
    <t>CLARA</t>
  </si>
  <si>
    <t>LORINQUER</t>
  </si>
  <si>
    <t>Nora</t>
  </si>
  <si>
    <t>MENARD</t>
  </si>
  <si>
    <t>Lilian</t>
  </si>
  <si>
    <t>Lucie</t>
  </si>
  <si>
    <t>Scholtès</t>
  </si>
  <si>
    <t>Ewen</t>
  </si>
  <si>
    <t>SENECHAL</t>
  </si>
  <si>
    <t>Elijah</t>
  </si>
  <si>
    <t>SIMIER</t>
  </si>
  <si>
    <t>Gaïdig (Monique Marie)</t>
  </si>
  <si>
    <t>Benantar</t>
  </si>
  <si>
    <t>Wakil</t>
  </si>
  <si>
    <t>NOEMIE</t>
  </si>
  <si>
    <t>BOURDET QUEGUINER</t>
  </si>
  <si>
    <t>HUGO</t>
  </si>
  <si>
    <t>Boyé</t>
  </si>
  <si>
    <t>Brige</t>
  </si>
  <si>
    <t>Anthony</t>
  </si>
  <si>
    <t>CARBOULEC</t>
  </si>
  <si>
    <t>CAROFF</t>
  </si>
  <si>
    <t>Brieuc</t>
  </si>
  <si>
    <t>CHAMPS</t>
  </si>
  <si>
    <t>JUSTINE</t>
  </si>
  <si>
    <t>Conort</t>
  </si>
  <si>
    <t>Alban</t>
  </si>
  <si>
    <t>DEROEUX</t>
  </si>
  <si>
    <t>PIERRE-ANTOINE</t>
  </si>
  <si>
    <t>DIELENSCHNEIDER</t>
  </si>
  <si>
    <t>FARRET</t>
  </si>
  <si>
    <t>CASSANDRE</t>
  </si>
  <si>
    <t>FIX MARIE-LOU</t>
  </si>
  <si>
    <t>FIX</t>
  </si>
  <si>
    <t>MARIE-LOU</t>
  </si>
  <si>
    <t>FOLL</t>
  </si>
  <si>
    <t>FOLL KLERVI</t>
  </si>
  <si>
    <t>Klervi</t>
  </si>
  <si>
    <t>GIROU-TEXIER LALY</t>
  </si>
  <si>
    <t>Girou-Texier</t>
  </si>
  <si>
    <t>Laly</t>
  </si>
  <si>
    <t>JEZEQUEL</t>
  </si>
  <si>
    <t>MARGAUX</t>
  </si>
  <si>
    <t>jurrius</t>
  </si>
  <si>
    <t>pauline</t>
  </si>
  <si>
    <t>LE GALL</t>
  </si>
  <si>
    <t>CLERVIE</t>
  </si>
  <si>
    <t>LE MOIGNE</t>
  </si>
  <si>
    <t>SIMON</t>
  </si>
  <si>
    <t>LE SCAO</t>
  </si>
  <si>
    <t>LOUVET CAMILLE</t>
  </si>
  <si>
    <t>LOUVET</t>
  </si>
  <si>
    <t>MARCO</t>
  </si>
  <si>
    <t>MENESGUEN LEÏLOU</t>
  </si>
  <si>
    <t>MENESGUEN</t>
  </si>
  <si>
    <t>Leïlou</t>
  </si>
  <si>
    <t>Moal</t>
  </si>
  <si>
    <t>Andrea</t>
  </si>
  <si>
    <t>Mulliez</t>
  </si>
  <si>
    <t>Joseph</t>
  </si>
  <si>
    <t>Nunes</t>
  </si>
  <si>
    <t>Prieur</t>
  </si>
  <si>
    <t>Antoine</t>
  </si>
  <si>
    <t>ROCHCONGAR</t>
  </si>
  <si>
    <t>Lou</t>
  </si>
  <si>
    <t>ROLLAND-PIEGUE ANNA</t>
  </si>
  <si>
    <t>ROLLAND-PIEGUE</t>
  </si>
  <si>
    <t>Anna</t>
  </si>
  <si>
    <t>RONCEY LUCAS</t>
  </si>
  <si>
    <t>RONCEY</t>
  </si>
  <si>
    <t>Spacensky</t>
  </si>
  <si>
    <t>Jeanne</t>
  </si>
  <si>
    <t>Stéphanus</t>
  </si>
  <si>
    <t>Aélia</t>
  </si>
  <si>
    <t>Bailliache</t>
  </si>
  <si>
    <t>BALCON</t>
  </si>
  <si>
    <t>BASTIONI</t>
  </si>
  <si>
    <t>Romane</t>
  </si>
  <si>
    <t>BEAL</t>
  </si>
  <si>
    <t>Alexis</t>
  </si>
  <si>
    <t>BERTHELOT</t>
  </si>
  <si>
    <t>BLEUNVEN</t>
  </si>
  <si>
    <t>LUCILE</t>
  </si>
  <si>
    <t>boucher</t>
  </si>
  <si>
    <t>jade</t>
  </si>
  <si>
    <t>Léa</t>
  </si>
  <si>
    <t>Bouydounan</t>
  </si>
  <si>
    <t>Jihad</t>
  </si>
  <si>
    <t>CASTETS</t>
  </si>
  <si>
    <t>Kétiara</t>
  </si>
  <si>
    <t>CHOMEL</t>
  </si>
  <si>
    <t>Marine</t>
  </si>
  <si>
    <t>CRENN</t>
  </si>
  <si>
    <t>DAMIEN</t>
  </si>
  <si>
    <t>Dumerval</t>
  </si>
  <si>
    <t>Athenaîs</t>
  </si>
  <si>
    <t>Ewan</t>
  </si>
  <si>
    <t>MANON</t>
  </si>
  <si>
    <t>GARCIA</t>
  </si>
  <si>
    <t>LEANE</t>
  </si>
  <si>
    <t>Guerin</t>
  </si>
  <si>
    <t>Thibault</t>
  </si>
  <si>
    <t>GUILLON</t>
  </si>
  <si>
    <t>Ronan</t>
  </si>
  <si>
    <t>JANEIRO-FORTES</t>
  </si>
  <si>
    <t>Kerrest</t>
  </si>
  <si>
    <t>Margot</t>
  </si>
  <si>
    <t>L haridon</t>
  </si>
  <si>
    <t>Natacha</t>
  </si>
  <si>
    <t>LACHUER NOLANN</t>
  </si>
  <si>
    <t>Lachuer</t>
  </si>
  <si>
    <t>Nolann</t>
  </si>
  <si>
    <t>LE BAYON</t>
  </si>
  <si>
    <t>Mathieu</t>
  </si>
  <si>
    <t>LE BORGNE--SALAÜN</t>
  </si>
  <si>
    <t>VICTOR</t>
  </si>
  <si>
    <t>LE COAT</t>
  </si>
  <si>
    <t>LE HIR</t>
  </si>
  <si>
    <t>Maureen</t>
  </si>
  <si>
    <t>LEMORT</t>
  </si>
  <si>
    <t>ELISE</t>
  </si>
  <si>
    <t>Piat</t>
  </si>
  <si>
    <t>Maelenn</t>
  </si>
  <si>
    <t>Quellec</t>
  </si>
  <si>
    <t>Gabriel</t>
  </si>
  <si>
    <t>RIS CHLOÉ</t>
  </si>
  <si>
    <t>Ris</t>
  </si>
  <si>
    <t>ROUGIER</t>
  </si>
  <si>
    <t>Servane</t>
  </si>
  <si>
    <t>CARLA</t>
  </si>
  <si>
    <t>Saillant</t>
  </si>
  <si>
    <t>Luna</t>
  </si>
  <si>
    <t>SOUFFES DESPRE</t>
  </si>
  <si>
    <t>PAUL</t>
  </si>
  <si>
    <t>THUILLIER</t>
  </si>
  <si>
    <t>ROMAIN</t>
  </si>
  <si>
    <t>Ateliers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</si>
</sst>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sz val="10"/>
      <name val="Arial"/>
    </font>
    <font>
      <sz val="11"/>
      <color rgb="FF7E3794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1" xfId="0" applyFont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7"/>
  <sheetViews>
    <sheetView tabSelected="1" workbookViewId="0">
      <pane ySplit="1" topLeftCell="A112" activePane="bottomLeft" state="frozen"/>
      <selection pane="bottomLeft" activeCell="D10" sqref="D10"/>
    </sheetView>
  </sheetViews>
  <sheetFormatPr baseColWidth="10" defaultColWidth="14.42578125" defaultRowHeight="15.75" customHeight="1" x14ac:dyDescent="0.2"/>
  <cols>
    <col min="1" max="1" width="21.5703125" customWidth="1"/>
    <col min="2" max="2" width="15" customWidth="1"/>
    <col min="3" max="18" width="21.5703125" customWidth="1"/>
  </cols>
  <sheetData>
    <row r="1" spans="1:12" ht="15.75" customHeight="1" x14ac:dyDescent="0.2">
      <c r="A1" s="1" t="s">
        <v>0</v>
      </c>
      <c r="B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3</v>
      </c>
      <c r="L1" s="1" t="s">
        <v>3</v>
      </c>
    </row>
    <row r="2" spans="1:12" ht="15.75" customHeight="1" x14ac:dyDescent="0.2">
      <c r="A2" s="2">
        <v>44168.750238321758</v>
      </c>
      <c r="B2" s="1" t="s">
        <v>4</v>
      </c>
      <c r="C2" s="1" t="s">
        <v>5</v>
      </c>
      <c r="K2" s="1" t="s">
        <v>6</v>
      </c>
    </row>
    <row r="3" spans="1:12" ht="15.75" customHeight="1" x14ac:dyDescent="0.2">
      <c r="A3" s="2">
        <v>44168.750254629631</v>
      </c>
      <c r="B3" s="1" t="s">
        <v>4</v>
      </c>
      <c r="C3" s="1" t="s">
        <v>7</v>
      </c>
      <c r="K3" s="1" t="s">
        <v>6</v>
      </c>
    </row>
    <row r="4" spans="1:12" ht="15.75" customHeight="1" x14ac:dyDescent="0.2">
      <c r="A4" s="2">
        <v>44168.750363692132</v>
      </c>
      <c r="B4" s="1" t="s">
        <v>8</v>
      </c>
      <c r="G4" s="1" t="s">
        <v>9</v>
      </c>
      <c r="L4" s="1" t="s">
        <v>10</v>
      </c>
    </row>
    <row r="5" spans="1:12" ht="15.75" customHeight="1" x14ac:dyDescent="0.2">
      <c r="A5" s="2">
        <v>44168.750375370371</v>
      </c>
      <c r="B5" s="1" t="s">
        <v>11</v>
      </c>
      <c r="F5" s="1" t="s">
        <v>12</v>
      </c>
      <c r="K5" s="1" t="s">
        <v>13</v>
      </c>
    </row>
    <row r="6" spans="1:12" ht="15.75" customHeight="1" x14ac:dyDescent="0.2">
      <c r="A6" s="2">
        <v>44168.75037548611</v>
      </c>
      <c r="B6" s="1" t="s">
        <v>4</v>
      </c>
      <c r="C6" s="1" t="s">
        <v>14</v>
      </c>
      <c r="K6" s="1" t="s">
        <v>6</v>
      </c>
    </row>
    <row r="7" spans="1:12" ht="15.75" customHeight="1" x14ac:dyDescent="0.2">
      <c r="A7" s="2">
        <v>44168.750385081017</v>
      </c>
      <c r="B7" s="1" t="s">
        <v>15</v>
      </c>
      <c r="E7" s="1" t="s">
        <v>16</v>
      </c>
      <c r="K7" s="1" t="s">
        <v>6</v>
      </c>
    </row>
    <row r="8" spans="1:12" ht="15.75" customHeight="1" x14ac:dyDescent="0.2">
      <c r="A8" s="2">
        <v>44168.750404456019</v>
      </c>
      <c r="B8" s="1" t="s">
        <v>8</v>
      </c>
      <c r="G8" s="1" t="s">
        <v>17</v>
      </c>
      <c r="L8" s="1" t="s">
        <v>6</v>
      </c>
    </row>
    <row r="9" spans="1:12" ht="15.75" customHeight="1" x14ac:dyDescent="0.2">
      <c r="A9" s="2">
        <v>44168.750416990741</v>
      </c>
      <c r="B9" s="1" t="s">
        <v>8</v>
      </c>
      <c r="G9" s="1" t="s">
        <v>18</v>
      </c>
      <c r="L9" s="1" t="s">
        <v>10</v>
      </c>
    </row>
    <row r="10" spans="1:12" ht="15.75" customHeight="1" x14ac:dyDescent="0.2">
      <c r="A10" s="2">
        <v>44168.75041857639</v>
      </c>
      <c r="B10" s="1" t="s">
        <v>11</v>
      </c>
      <c r="F10" s="1" t="s">
        <v>19</v>
      </c>
      <c r="K10" s="1" t="s">
        <v>6</v>
      </c>
    </row>
    <row r="11" spans="1:12" ht="15.75" customHeight="1" x14ac:dyDescent="0.2">
      <c r="A11" s="2">
        <v>44168.750441018521</v>
      </c>
      <c r="B11" s="1" t="s">
        <v>15</v>
      </c>
      <c r="E11" s="1" t="s">
        <v>20</v>
      </c>
      <c r="K11" s="1" t="s">
        <v>21</v>
      </c>
    </row>
    <row r="12" spans="1:12" ht="15.75" customHeight="1" x14ac:dyDescent="0.2">
      <c r="A12" s="2">
        <v>44168.750475277775</v>
      </c>
      <c r="B12" s="1" t="s">
        <v>4</v>
      </c>
      <c r="C12" s="1" t="s">
        <v>22</v>
      </c>
      <c r="K12" s="1" t="s">
        <v>23</v>
      </c>
    </row>
    <row r="13" spans="1:12" ht="15.75" customHeight="1" x14ac:dyDescent="0.2">
      <c r="A13" s="2">
        <v>44168.750475474539</v>
      </c>
      <c r="B13" s="1" t="s">
        <v>8</v>
      </c>
      <c r="G13" s="1" t="s">
        <v>24</v>
      </c>
      <c r="L13" s="1" t="s">
        <v>25</v>
      </c>
    </row>
    <row r="14" spans="1:12" ht="15.75" customHeight="1" x14ac:dyDescent="0.2">
      <c r="A14" s="2">
        <v>44168.750482858799</v>
      </c>
      <c r="B14" s="1" t="s">
        <v>26</v>
      </c>
      <c r="I14" s="1" t="s">
        <v>27</v>
      </c>
      <c r="L14" s="1" t="s">
        <v>25</v>
      </c>
    </row>
    <row r="15" spans="1:12" ht="15.75" customHeight="1" x14ac:dyDescent="0.2">
      <c r="A15" s="2">
        <v>44168.750543125003</v>
      </c>
      <c r="B15" s="1" t="s">
        <v>28</v>
      </c>
      <c r="H15" s="1" t="s">
        <v>29</v>
      </c>
      <c r="L15" s="1" t="s">
        <v>30</v>
      </c>
    </row>
    <row r="16" spans="1:12" ht="15.75" customHeight="1" x14ac:dyDescent="0.2">
      <c r="A16" s="2">
        <v>44168.750546111114</v>
      </c>
      <c r="B16" s="1" t="s">
        <v>4</v>
      </c>
      <c r="C16" s="1" t="s">
        <v>31</v>
      </c>
      <c r="K16" s="1" t="s">
        <v>6</v>
      </c>
    </row>
    <row r="17" spans="1:12" ht="15.75" customHeight="1" x14ac:dyDescent="0.2">
      <c r="A17" s="2">
        <v>44168.750555081017</v>
      </c>
      <c r="B17" s="1" t="s">
        <v>28</v>
      </c>
      <c r="H17" s="1" t="s">
        <v>32</v>
      </c>
      <c r="L17" s="1" t="s">
        <v>30</v>
      </c>
    </row>
    <row r="18" spans="1:12" ht="15.75" customHeight="1" x14ac:dyDescent="0.2">
      <c r="A18" s="2">
        <v>44168.7505728588</v>
      </c>
      <c r="B18" s="1" t="s">
        <v>15</v>
      </c>
      <c r="E18" s="1" t="s">
        <v>33</v>
      </c>
      <c r="K18" s="1" t="s">
        <v>6</v>
      </c>
    </row>
    <row r="19" spans="1:12" ht="15.75" customHeight="1" x14ac:dyDescent="0.2">
      <c r="A19" s="2">
        <v>44168.75057311343</v>
      </c>
      <c r="B19" s="1" t="s">
        <v>8</v>
      </c>
      <c r="G19" s="1" t="s">
        <v>34</v>
      </c>
      <c r="L19" s="1" t="s">
        <v>30</v>
      </c>
    </row>
    <row r="20" spans="1:12" ht="15.75" customHeight="1" x14ac:dyDescent="0.2">
      <c r="A20" s="2">
        <v>44168.750585428235</v>
      </c>
      <c r="B20" s="1" t="s">
        <v>35</v>
      </c>
      <c r="D20" s="1" t="s">
        <v>36</v>
      </c>
      <c r="K20" s="1" t="s">
        <v>23</v>
      </c>
    </row>
    <row r="21" spans="1:12" ht="15.75" customHeight="1" x14ac:dyDescent="0.2">
      <c r="A21" s="2">
        <v>44168.75058861111</v>
      </c>
      <c r="B21" s="1" t="s">
        <v>15</v>
      </c>
      <c r="E21" s="1" t="s">
        <v>37</v>
      </c>
      <c r="K21" s="1" t="s">
        <v>21</v>
      </c>
    </row>
    <row r="22" spans="1:12" ht="15.75" customHeight="1" x14ac:dyDescent="0.2">
      <c r="A22" s="2">
        <v>44168.75067090278</v>
      </c>
      <c r="B22" s="1" t="s">
        <v>15</v>
      </c>
      <c r="E22" s="1" t="s">
        <v>38</v>
      </c>
      <c r="K22" s="1" t="s">
        <v>21</v>
      </c>
    </row>
    <row r="23" spans="1:12" ht="15.75" customHeight="1" x14ac:dyDescent="0.2">
      <c r="A23" s="2">
        <v>44168.750708645835</v>
      </c>
      <c r="B23" s="1" t="s">
        <v>15</v>
      </c>
      <c r="E23" s="1" t="s">
        <v>16</v>
      </c>
      <c r="K23" s="1" t="s">
        <v>6</v>
      </c>
    </row>
    <row r="24" spans="1:12" ht="15.75" customHeight="1" x14ac:dyDescent="0.2">
      <c r="A24" s="2">
        <v>44168.750707384257</v>
      </c>
      <c r="B24" s="1" t="s">
        <v>11</v>
      </c>
      <c r="F24" s="1" t="s">
        <v>39</v>
      </c>
      <c r="K24" s="1" t="s">
        <v>13</v>
      </c>
    </row>
    <row r="25" spans="1:12" ht="12.75" x14ac:dyDescent="0.2">
      <c r="A25" s="2">
        <v>44168.750710995373</v>
      </c>
      <c r="B25" s="1" t="s">
        <v>15</v>
      </c>
      <c r="E25" s="1" t="s">
        <v>40</v>
      </c>
      <c r="K25" s="1" t="s">
        <v>13</v>
      </c>
    </row>
    <row r="26" spans="1:12" ht="12.75" x14ac:dyDescent="0.2">
      <c r="A26" s="2">
        <v>44168.750715567134</v>
      </c>
      <c r="B26" s="1" t="s">
        <v>15</v>
      </c>
      <c r="E26" s="1" t="s">
        <v>41</v>
      </c>
      <c r="K26" s="1" t="s">
        <v>21</v>
      </c>
    </row>
    <row r="27" spans="1:12" ht="12.75" x14ac:dyDescent="0.2">
      <c r="A27" s="2">
        <v>44168.750733819441</v>
      </c>
      <c r="B27" s="1" t="s">
        <v>15</v>
      </c>
      <c r="E27" s="1" t="s">
        <v>42</v>
      </c>
      <c r="K27" s="1" t="s">
        <v>21</v>
      </c>
    </row>
    <row r="28" spans="1:12" ht="12.75" x14ac:dyDescent="0.2">
      <c r="A28" s="2">
        <v>44168.750782291667</v>
      </c>
      <c r="B28" s="1" t="s">
        <v>15</v>
      </c>
      <c r="E28" s="1" t="s">
        <v>43</v>
      </c>
      <c r="K28" s="1" t="s">
        <v>13</v>
      </c>
    </row>
    <row r="29" spans="1:12" ht="12.75" x14ac:dyDescent="0.2">
      <c r="A29" s="2">
        <v>44168.750775196764</v>
      </c>
      <c r="B29" s="1" t="s">
        <v>4</v>
      </c>
      <c r="C29" s="1" t="s">
        <v>44</v>
      </c>
      <c r="K29" s="1" t="s">
        <v>13</v>
      </c>
    </row>
    <row r="30" spans="1:12" ht="12.75" x14ac:dyDescent="0.2">
      <c r="A30" s="2">
        <v>44168.750782997682</v>
      </c>
      <c r="B30" s="1" t="s">
        <v>4</v>
      </c>
      <c r="C30" s="1" t="s">
        <v>45</v>
      </c>
      <c r="K30" s="1" t="s">
        <v>13</v>
      </c>
    </row>
    <row r="31" spans="1:12" ht="12.75" x14ac:dyDescent="0.2">
      <c r="A31" s="2">
        <v>44168.750783159718</v>
      </c>
      <c r="B31" s="1" t="s">
        <v>4</v>
      </c>
      <c r="C31" s="1" t="s">
        <v>46</v>
      </c>
      <c r="K31" s="1" t="s">
        <v>13</v>
      </c>
    </row>
    <row r="32" spans="1:12" ht="12.75" x14ac:dyDescent="0.2">
      <c r="A32" s="2">
        <v>44168.750820000001</v>
      </c>
      <c r="B32" s="1" t="s">
        <v>35</v>
      </c>
      <c r="D32" s="1" t="s">
        <v>47</v>
      </c>
      <c r="K32" s="1" t="s">
        <v>13</v>
      </c>
    </row>
    <row r="33" spans="1:12" ht="12.75" x14ac:dyDescent="0.2">
      <c r="A33" s="2">
        <v>44168.750792465275</v>
      </c>
      <c r="B33" s="1" t="s">
        <v>15</v>
      </c>
      <c r="E33" s="1" t="s">
        <v>48</v>
      </c>
      <c r="K33" s="1" t="s">
        <v>13</v>
      </c>
    </row>
    <row r="34" spans="1:12" ht="12.75" x14ac:dyDescent="0.2">
      <c r="A34" s="2">
        <v>44168.750805208329</v>
      </c>
      <c r="B34" s="1" t="s">
        <v>4</v>
      </c>
      <c r="C34" s="1" t="s">
        <v>49</v>
      </c>
      <c r="K34" s="1" t="s">
        <v>13</v>
      </c>
    </row>
    <row r="35" spans="1:12" ht="12.75" x14ac:dyDescent="0.2">
      <c r="A35" s="2">
        <v>44168.750831793979</v>
      </c>
      <c r="B35" s="1" t="s">
        <v>15</v>
      </c>
      <c r="E35" s="1" t="s">
        <v>50</v>
      </c>
      <c r="K35" s="1" t="s">
        <v>13</v>
      </c>
    </row>
    <row r="36" spans="1:12" ht="12.75" x14ac:dyDescent="0.2">
      <c r="A36" s="2">
        <v>44168.750845254632</v>
      </c>
      <c r="B36" s="1" t="s">
        <v>4</v>
      </c>
      <c r="C36" s="1" t="s">
        <v>51</v>
      </c>
      <c r="K36" s="1" t="s">
        <v>6</v>
      </c>
    </row>
    <row r="37" spans="1:12" ht="12.75" x14ac:dyDescent="0.2">
      <c r="A37" s="2">
        <v>44168.750852256941</v>
      </c>
      <c r="B37" s="1" t="s">
        <v>28</v>
      </c>
      <c r="H37" s="1" t="s">
        <v>52</v>
      </c>
      <c r="L37" s="1" t="s">
        <v>30</v>
      </c>
    </row>
    <row r="38" spans="1:12" ht="12.75" x14ac:dyDescent="0.2">
      <c r="A38" s="2">
        <v>44168.750885856483</v>
      </c>
      <c r="B38" s="1" t="s">
        <v>8</v>
      </c>
      <c r="G38" s="1" t="s">
        <v>53</v>
      </c>
      <c r="L38" s="1" t="s">
        <v>25</v>
      </c>
    </row>
    <row r="39" spans="1:12" ht="12.75" x14ac:dyDescent="0.2">
      <c r="A39" s="2">
        <v>44168.750894629629</v>
      </c>
      <c r="B39" s="1" t="s">
        <v>11</v>
      </c>
      <c r="F39" s="1" t="s">
        <v>54</v>
      </c>
      <c r="K39" s="1" t="s">
        <v>13</v>
      </c>
    </row>
    <row r="40" spans="1:12" ht="12.75" x14ac:dyDescent="0.2">
      <c r="A40" s="2">
        <v>44168.750895914352</v>
      </c>
      <c r="B40" s="1" t="s">
        <v>15</v>
      </c>
      <c r="E40" s="1" t="s">
        <v>55</v>
      </c>
      <c r="K40" s="1" t="s">
        <v>13</v>
      </c>
    </row>
    <row r="41" spans="1:12" ht="12.75" x14ac:dyDescent="0.2">
      <c r="A41" s="2">
        <v>44168.750907847221</v>
      </c>
      <c r="B41" s="1" t="s">
        <v>15</v>
      </c>
      <c r="E41" s="1" t="s">
        <v>56</v>
      </c>
      <c r="K41" s="1" t="s">
        <v>13</v>
      </c>
    </row>
    <row r="42" spans="1:12" ht="12.75" x14ac:dyDescent="0.2">
      <c r="A42" s="2">
        <v>44168.750954050927</v>
      </c>
      <c r="B42" s="1" t="s">
        <v>15</v>
      </c>
      <c r="E42" s="1" t="s">
        <v>57</v>
      </c>
      <c r="K42" s="1" t="s">
        <v>21</v>
      </c>
    </row>
    <row r="43" spans="1:12" ht="12.75" x14ac:dyDescent="0.2">
      <c r="A43" s="2">
        <v>44168.750985775463</v>
      </c>
      <c r="B43" s="1" t="s">
        <v>35</v>
      </c>
      <c r="D43" s="1" t="s">
        <v>58</v>
      </c>
      <c r="K43" s="1" t="s">
        <v>59</v>
      </c>
    </row>
    <row r="44" spans="1:12" ht="12.75" x14ac:dyDescent="0.2">
      <c r="A44" s="2">
        <v>44168.750994907408</v>
      </c>
      <c r="B44" s="1" t="s">
        <v>35</v>
      </c>
      <c r="D44" s="1" t="s">
        <v>60</v>
      </c>
      <c r="K44" s="1" t="s">
        <v>61</v>
      </c>
    </row>
    <row r="45" spans="1:12" ht="12.75" x14ac:dyDescent="0.2">
      <c r="A45" s="2">
        <v>44168.750997384261</v>
      </c>
      <c r="B45" s="1" t="s">
        <v>15</v>
      </c>
      <c r="E45" s="1" t="s">
        <v>62</v>
      </c>
      <c r="K45" s="1" t="s">
        <v>13</v>
      </c>
    </row>
    <row r="46" spans="1:12" ht="12.75" x14ac:dyDescent="0.2">
      <c r="A46" s="2">
        <v>44168.751004039354</v>
      </c>
      <c r="B46" s="1" t="s">
        <v>15</v>
      </c>
      <c r="E46" s="1" t="s">
        <v>63</v>
      </c>
      <c r="K46" s="1" t="s">
        <v>6</v>
      </c>
    </row>
    <row r="47" spans="1:12" ht="12.75" x14ac:dyDescent="0.2">
      <c r="A47" s="2">
        <v>44168.751005694445</v>
      </c>
      <c r="B47" s="1" t="s">
        <v>8</v>
      </c>
      <c r="G47" s="1" t="s">
        <v>64</v>
      </c>
      <c r="L47" s="1" t="s">
        <v>30</v>
      </c>
    </row>
    <row r="48" spans="1:12" ht="12.75" x14ac:dyDescent="0.2">
      <c r="A48" s="2">
        <v>44168.751089849538</v>
      </c>
      <c r="B48" s="1" t="s">
        <v>4</v>
      </c>
      <c r="C48" s="1" t="s">
        <v>65</v>
      </c>
      <c r="K48" s="1" t="s">
        <v>61</v>
      </c>
    </row>
    <row r="49" spans="1:12" ht="12.75" x14ac:dyDescent="0.2">
      <c r="A49" s="2">
        <v>44168.751089895828</v>
      </c>
      <c r="B49" s="1" t="s">
        <v>8</v>
      </c>
      <c r="G49" s="1" t="s">
        <v>66</v>
      </c>
      <c r="L49" s="1" t="s">
        <v>10</v>
      </c>
    </row>
    <row r="50" spans="1:12" ht="12.75" x14ac:dyDescent="0.2">
      <c r="A50" s="2">
        <v>44168.751053437503</v>
      </c>
      <c r="B50" s="1" t="s">
        <v>15</v>
      </c>
      <c r="E50" s="1" t="s">
        <v>67</v>
      </c>
      <c r="K50" s="1" t="s">
        <v>6</v>
      </c>
    </row>
    <row r="51" spans="1:12" ht="12.75" x14ac:dyDescent="0.2">
      <c r="A51" s="2">
        <v>44168.75106819444</v>
      </c>
      <c r="B51" s="1" t="s">
        <v>15</v>
      </c>
      <c r="E51" s="1" t="s">
        <v>68</v>
      </c>
      <c r="K51" s="1" t="s">
        <v>13</v>
      </c>
    </row>
    <row r="52" spans="1:12" ht="12.75" x14ac:dyDescent="0.2">
      <c r="A52" s="2">
        <v>44168.751068252313</v>
      </c>
      <c r="B52" s="1" t="s">
        <v>15</v>
      </c>
      <c r="E52" s="1" t="s">
        <v>69</v>
      </c>
      <c r="K52" s="1" t="s">
        <v>6</v>
      </c>
    </row>
    <row r="53" spans="1:12" ht="12.75" x14ac:dyDescent="0.2">
      <c r="A53" s="2">
        <v>44168.751077083332</v>
      </c>
      <c r="B53" s="1" t="s">
        <v>15</v>
      </c>
      <c r="E53" s="1" t="s">
        <v>70</v>
      </c>
      <c r="K53" s="1" t="s">
        <v>21</v>
      </c>
    </row>
    <row r="54" spans="1:12" ht="12.75" x14ac:dyDescent="0.2">
      <c r="A54" s="2">
        <v>44168.751110034718</v>
      </c>
      <c r="B54" s="1" t="s">
        <v>15</v>
      </c>
      <c r="E54" s="1" t="s">
        <v>71</v>
      </c>
      <c r="K54" s="1" t="s">
        <v>13</v>
      </c>
    </row>
    <row r="55" spans="1:12" ht="12.75" x14ac:dyDescent="0.2">
      <c r="A55" s="2">
        <v>44168.751119259265</v>
      </c>
      <c r="B55" s="1" t="s">
        <v>8</v>
      </c>
      <c r="G55" s="1" t="s">
        <v>72</v>
      </c>
      <c r="L55" s="1" t="s">
        <v>10</v>
      </c>
    </row>
    <row r="56" spans="1:12" ht="12.75" x14ac:dyDescent="0.2">
      <c r="A56" s="2">
        <v>44168.751141122688</v>
      </c>
      <c r="B56" s="1" t="s">
        <v>8</v>
      </c>
      <c r="G56" s="1" t="s">
        <v>73</v>
      </c>
      <c r="L56" s="1" t="s">
        <v>6</v>
      </c>
    </row>
    <row r="57" spans="1:12" ht="12.75" x14ac:dyDescent="0.2">
      <c r="A57" s="2">
        <v>44168.751142916663</v>
      </c>
      <c r="B57" s="1" t="s">
        <v>4</v>
      </c>
      <c r="C57" s="1" t="s">
        <v>74</v>
      </c>
      <c r="K57" s="1" t="s">
        <v>13</v>
      </c>
    </row>
    <row r="58" spans="1:12" ht="12.75" x14ac:dyDescent="0.2">
      <c r="A58" s="2">
        <v>44168.751169351854</v>
      </c>
      <c r="B58" s="1" t="s">
        <v>15</v>
      </c>
      <c r="E58" s="1" t="s">
        <v>75</v>
      </c>
      <c r="K58" s="1" t="s">
        <v>21</v>
      </c>
    </row>
    <row r="59" spans="1:12" ht="12.75" x14ac:dyDescent="0.2">
      <c r="A59" s="2">
        <v>44168.751191689815</v>
      </c>
      <c r="B59" s="1" t="s">
        <v>8</v>
      </c>
      <c r="G59" s="1" t="s">
        <v>76</v>
      </c>
      <c r="L59" s="1" t="s">
        <v>59</v>
      </c>
    </row>
    <row r="60" spans="1:12" ht="12.75" x14ac:dyDescent="0.2">
      <c r="A60" s="2">
        <v>44168.75119200231</v>
      </c>
      <c r="B60" s="1" t="s">
        <v>11</v>
      </c>
      <c r="F60" s="1" t="s">
        <v>77</v>
      </c>
      <c r="K60" s="1" t="s">
        <v>13</v>
      </c>
    </row>
    <row r="61" spans="1:12" ht="12.75" x14ac:dyDescent="0.2">
      <c r="A61" s="2">
        <v>44168.751219571757</v>
      </c>
      <c r="B61" s="1" t="s">
        <v>28</v>
      </c>
      <c r="H61" s="1" t="s">
        <v>78</v>
      </c>
      <c r="L61" s="1" t="s">
        <v>30</v>
      </c>
    </row>
    <row r="62" spans="1:12" ht="12.75" x14ac:dyDescent="0.2">
      <c r="A62" s="2">
        <v>44168.751273726855</v>
      </c>
      <c r="B62" s="1" t="s">
        <v>35</v>
      </c>
      <c r="D62" s="1" t="s">
        <v>79</v>
      </c>
      <c r="K62" s="1" t="s">
        <v>61</v>
      </c>
    </row>
    <row r="63" spans="1:12" ht="12.75" x14ac:dyDescent="0.2">
      <c r="A63" s="2">
        <v>44168.75127734954</v>
      </c>
      <c r="B63" s="1" t="s">
        <v>35</v>
      </c>
      <c r="D63" s="1" t="s">
        <v>80</v>
      </c>
      <c r="K63" s="1" t="s">
        <v>59</v>
      </c>
    </row>
    <row r="64" spans="1:12" ht="12.75" x14ac:dyDescent="0.2">
      <c r="A64" s="2">
        <v>44168.751303807869</v>
      </c>
      <c r="B64" s="1" t="s">
        <v>35</v>
      </c>
      <c r="D64" s="1" t="s">
        <v>81</v>
      </c>
      <c r="K64" s="1" t="s">
        <v>61</v>
      </c>
    </row>
    <row r="65" spans="1:12" ht="12.75" x14ac:dyDescent="0.2">
      <c r="A65" s="2">
        <v>44168.751355879635</v>
      </c>
      <c r="B65" s="1" t="s">
        <v>35</v>
      </c>
      <c r="D65" s="1" t="s">
        <v>82</v>
      </c>
      <c r="K65" s="1" t="s">
        <v>21</v>
      </c>
    </row>
    <row r="66" spans="1:12" ht="12.75" x14ac:dyDescent="0.2">
      <c r="A66" s="2">
        <v>44168.751365034725</v>
      </c>
      <c r="B66" s="1" t="s">
        <v>8</v>
      </c>
      <c r="G66" s="1" t="s">
        <v>83</v>
      </c>
      <c r="L66" s="1" t="s">
        <v>23</v>
      </c>
    </row>
    <row r="67" spans="1:12" ht="12.75" x14ac:dyDescent="0.2">
      <c r="A67" s="2">
        <v>44168.751390115736</v>
      </c>
      <c r="B67" s="1" t="s">
        <v>8</v>
      </c>
      <c r="G67" s="1" t="s">
        <v>84</v>
      </c>
      <c r="L67" s="1" t="s">
        <v>25</v>
      </c>
    </row>
    <row r="68" spans="1:12" ht="12.75" x14ac:dyDescent="0.2">
      <c r="A68" s="2">
        <v>44168.751466076385</v>
      </c>
      <c r="B68" s="1" t="s">
        <v>35</v>
      </c>
      <c r="D68" s="1" t="s">
        <v>85</v>
      </c>
      <c r="K68" s="1" t="s">
        <v>23</v>
      </c>
    </row>
    <row r="69" spans="1:12" ht="12.75" x14ac:dyDescent="0.2">
      <c r="A69" s="2">
        <v>44168.751513229166</v>
      </c>
      <c r="B69" s="1" t="s">
        <v>11</v>
      </c>
      <c r="F69" s="1" t="s">
        <v>86</v>
      </c>
      <c r="K69" s="1" t="s">
        <v>61</v>
      </c>
    </row>
    <row r="70" spans="1:12" ht="12.75" x14ac:dyDescent="0.2">
      <c r="A70" s="2">
        <v>44168.751578402778</v>
      </c>
      <c r="B70" s="1" t="s">
        <v>4</v>
      </c>
      <c r="C70" s="1" t="s">
        <v>87</v>
      </c>
      <c r="K70" s="1" t="s">
        <v>59</v>
      </c>
    </row>
    <row r="71" spans="1:12" ht="12.75" x14ac:dyDescent="0.2">
      <c r="A71" s="2">
        <v>44168.751701504632</v>
      </c>
      <c r="B71" s="1" t="s">
        <v>35</v>
      </c>
      <c r="D71" s="1" t="s">
        <v>88</v>
      </c>
      <c r="K71" s="1" t="s">
        <v>21</v>
      </c>
    </row>
    <row r="72" spans="1:12" ht="12.75" x14ac:dyDescent="0.2">
      <c r="A72" s="2">
        <v>44168.751726805553</v>
      </c>
      <c r="B72" s="1" t="s">
        <v>15</v>
      </c>
      <c r="E72" s="1" t="s">
        <v>89</v>
      </c>
      <c r="K72" s="1" t="s">
        <v>21</v>
      </c>
    </row>
    <row r="73" spans="1:12" ht="12.75" x14ac:dyDescent="0.2">
      <c r="A73" s="2">
        <v>44168.751803125</v>
      </c>
      <c r="B73" s="1" t="s">
        <v>35</v>
      </c>
      <c r="D73" s="1" t="s">
        <v>90</v>
      </c>
      <c r="K73" s="1" t="s">
        <v>59</v>
      </c>
    </row>
    <row r="74" spans="1:12" ht="12.75" x14ac:dyDescent="0.2">
      <c r="A74" s="2">
        <v>44168.751811875001</v>
      </c>
      <c r="B74" s="1" t="s">
        <v>8</v>
      </c>
      <c r="G74" s="1" t="s">
        <v>91</v>
      </c>
      <c r="L74" s="1" t="s">
        <v>10</v>
      </c>
    </row>
    <row r="75" spans="1:12" ht="12.75" x14ac:dyDescent="0.2">
      <c r="A75" s="2">
        <v>44168.751869768515</v>
      </c>
      <c r="B75" s="1" t="s">
        <v>35</v>
      </c>
      <c r="D75" s="1" t="s">
        <v>92</v>
      </c>
      <c r="K75" s="1" t="s">
        <v>21</v>
      </c>
    </row>
    <row r="76" spans="1:12" ht="12.75" x14ac:dyDescent="0.2">
      <c r="A76" s="2">
        <v>44168.752083182873</v>
      </c>
      <c r="B76" s="1" t="s">
        <v>35</v>
      </c>
      <c r="D76" s="1" t="s">
        <v>93</v>
      </c>
      <c r="K76" s="1" t="s">
        <v>21</v>
      </c>
    </row>
    <row r="77" spans="1:12" ht="12.75" x14ac:dyDescent="0.2">
      <c r="A77" s="2">
        <v>44168.752102511571</v>
      </c>
      <c r="B77" s="1" t="s">
        <v>35</v>
      </c>
      <c r="D77" s="1" t="s">
        <v>94</v>
      </c>
      <c r="K77" s="1" t="s">
        <v>21</v>
      </c>
    </row>
    <row r="78" spans="1:12" ht="12.75" x14ac:dyDescent="0.2">
      <c r="A78" s="2">
        <v>44168.752115358795</v>
      </c>
      <c r="B78" s="1" t="s">
        <v>11</v>
      </c>
      <c r="F78" s="1" t="s">
        <v>95</v>
      </c>
      <c r="K78" s="1" t="s">
        <v>21</v>
      </c>
    </row>
    <row r="79" spans="1:12" ht="12.75" x14ac:dyDescent="0.2">
      <c r="A79" s="2">
        <v>44168.752165474536</v>
      </c>
      <c r="B79" s="1" t="s">
        <v>4</v>
      </c>
      <c r="C79" s="1" t="s">
        <v>96</v>
      </c>
      <c r="K79" s="1" t="s">
        <v>21</v>
      </c>
    </row>
    <row r="80" spans="1:12" ht="12.75" x14ac:dyDescent="0.2">
      <c r="A80" s="2">
        <v>44168.752272118058</v>
      </c>
      <c r="B80" s="1" t="s">
        <v>11</v>
      </c>
      <c r="F80" s="1" t="s">
        <v>97</v>
      </c>
      <c r="K80" s="1" t="s">
        <v>59</v>
      </c>
    </row>
    <row r="81" spans="1:12" ht="12.75" x14ac:dyDescent="0.2">
      <c r="A81" s="2">
        <v>44168.752340567131</v>
      </c>
      <c r="B81" s="1" t="s">
        <v>11</v>
      </c>
      <c r="F81" s="1" t="s">
        <v>98</v>
      </c>
      <c r="K81" s="1" t="s">
        <v>59</v>
      </c>
    </row>
    <row r="82" spans="1:12" ht="12.75" x14ac:dyDescent="0.2">
      <c r="A82" s="2">
        <v>44168.752466307866</v>
      </c>
      <c r="B82" s="1" t="s">
        <v>11</v>
      </c>
      <c r="F82" s="1" t="s">
        <v>99</v>
      </c>
      <c r="K82" s="1" t="s">
        <v>59</v>
      </c>
    </row>
    <row r="83" spans="1:12" ht="12.75" x14ac:dyDescent="0.2">
      <c r="A83" s="2">
        <v>44168.752479421295</v>
      </c>
      <c r="B83" s="1" t="s">
        <v>35</v>
      </c>
      <c r="D83" s="1" t="s">
        <v>100</v>
      </c>
      <c r="K83" s="1" t="s">
        <v>21</v>
      </c>
    </row>
    <row r="84" spans="1:12" ht="12.75" x14ac:dyDescent="0.2">
      <c r="A84" s="2">
        <v>44168.752532523147</v>
      </c>
      <c r="B84" s="1" t="s">
        <v>15</v>
      </c>
      <c r="E84" s="1" t="s">
        <v>101</v>
      </c>
      <c r="K84" s="1" t="s">
        <v>21</v>
      </c>
    </row>
    <row r="85" spans="1:12" ht="12.75" x14ac:dyDescent="0.2">
      <c r="A85" s="2">
        <v>44168.752591400465</v>
      </c>
      <c r="B85" s="1" t="s">
        <v>15</v>
      </c>
      <c r="E85" s="1" t="s">
        <v>102</v>
      </c>
      <c r="K85" s="1" t="s">
        <v>21</v>
      </c>
    </row>
    <row r="86" spans="1:12" ht="12.75" x14ac:dyDescent="0.2">
      <c r="A86" s="2">
        <v>44168.752610104166</v>
      </c>
      <c r="B86" s="1" t="s">
        <v>35</v>
      </c>
      <c r="D86" s="1" t="s">
        <v>103</v>
      </c>
      <c r="K86" s="1" t="s">
        <v>21</v>
      </c>
    </row>
    <row r="87" spans="1:12" ht="12.75" x14ac:dyDescent="0.2">
      <c r="A87" s="2">
        <v>44168.752809027777</v>
      </c>
      <c r="B87" s="1" t="s">
        <v>8</v>
      </c>
      <c r="G87" s="1" t="s">
        <v>104</v>
      </c>
      <c r="L87" s="1" t="s">
        <v>59</v>
      </c>
    </row>
    <row r="88" spans="1:12" ht="12.75" x14ac:dyDescent="0.2">
      <c r="A88" s="2">
        <v>44168.753288472217</v>
      </c>
      <c r="B88" s="1" t="s">
        <v>4</v>
      </c>
      <c r="C88" s="1" t="s">
        <v>105</v>
      </c>
      <c r="K88" s="1" t="s">
        <v>23</v>
      </c>
    </row>
    <row r="89" spans="1:12" ht="12.75" x14ac:dyDescent="0.2">
      <c r="A89" s="2">
        <v>44168.753298113428</v>
      </c>
      <c r="B89" s="1" t="s">
        <v>28</v>
      </c>
      <c r="H89" s="1" t="s">
        <v>106</v>
      </c>
      <c r="L89" s="1" t="s">
        <v>30</v>
      </c>
    </row>
    <row r="90" spans="1:12" ht="12.75" x14ac:dyDescent="0.2">
      <c r="A90" s="2">
        <v>44168.75336430555</v>
      </c>
      <c r="B90" s="1" t="s">
        <v>15</v>
      </c>
      <c r="E90" s="1" t="s">
        <v>107</v>
      </c>
      <c r="K90" s="1" t="s">
        <v>59</v>
      </c>
    </row>
    <row r="91" spans="1:12" ht="12.75" x14ac:dyDescent="0.2">
      <c r="A91" s="2">
        <v>44168.753636018519</v>
      </c>
      <c r="B91" s="1" t="s">
        <v>35</v>
      </c>
      <c r="D91" s="1" t="s">
        <v>108</v>
      </c>
      <c r="K91" s="1" t="s">
        <v>109</v>
      </c>
    </row>
    <row r="92" spans="1:12" ht="12.75" x14ac:dyDescent="0.2">
      <c r="A92" s="2">
        <v>44168.75363983796</v>
      </c>
      <c r="B92" s="1" t="s">
        <v>4</v>
      </c>
      <c r="C92" s="1" t="s">
        <v>110</v>
      </c>
      <c r="K92" s="1" t="s">
        <v>6</v>
      </c>
    </row>
    <row r="93" spans="1:12" ht="12.75" x14ac:dyDescent="0.2">
      <c r="A93" s="2">
        <v>44168.753952118059</v>
      </c>
      <c r="B93" s="1" t="s">
        <v>8</v>
      </c>
      <c r="G93" s="1" t="s">
        <v>111</v>
      </c>
      <c r="L93" s="1" t="s">
        <v>23</v>
      </c>
    </row>
    <row r="94" spans="1:12" ht="12.75" x14ac:dyDescent="0.2">
      <c r="A94" s="2">
        <v>44168.754028738425</v>
      </c>
      <c r="B94" s="1" t="s">
        <v>15</v>
      </c>
      <c r="E94" s="1" t="s">
        <v>112</v>
      </c>
      <c r="K94" s="1" t="s">
        <v>6</v>
      </c>
    </row>
    <row r="95" spans="1:12" ht="12.75" x14ac:dyDescent="0.2">
      <c r="A95" s="2">
        <v>44168.754080590283</v>
      </c>
      <c r="B95" s="1" t="s">
        <v>8</v>
      </c>
      <c r="G95" s="1" t="s">
        <v>113</v>
      </c>
      <c r="L95" s="1" t="s">
        <v>6</v>
      </c>
    </row>
    <row r="96" spans="1:12" ht="12.75" x14ac:dyDescent="0.2">
      <c r="A96" s="2">
        <v>44168.754290173616</v>
      </c>
      <c r="B96" s="1" t="s">
        <v>28</v>
      </c>
      <c r="H96" s="1" t="s">
        <v>114</v>
      </c>
      <c r="L96" s="1" t="s">
        <v>30</v>
      </c>
    </row>
    <row r="97" spans="1:12" ht="12.75" x14ac:dyDescent="0.2">
      <c r="A97" s="2">
        <v>44168.754314409722</v>
      </c>
      <c r="B97" s="1" t="s">
        <v>15</v>
      </c>
      <c r="E97" s="1" t="s">
        <v>115</v>
      </c>
      <c r="K97" s="1" t="s">
        <v>6</v>
      </c>
    </row>
    <row r="98" spans="1:12" ht="12.75" x14ac:dyDescent="0.2">
      <c r="A98" s="2">
        <v>44168.754459814816</v>
      </c>
      <c r="B98" s="1" t="s">
        <v>28</v>
      </c>
      <c r="H98" s="1" t="s">
        <v>116</v>
      </c>
      <c r="L98" s="1" t="s">
        <v>30</v>
      </c>
    </row>
    <row r="99" spans="1:12" ht="12.75" x14ac:dyDescent="0.2">
      <c r="A99" s="2">
        <v>44168.754754537033</v>
      </c>
      <c r="B99" s="1" t="s">
        <v>8</v>
      </c>
      <c r="G99" s="1" t="s">
        <v>117</v>
      </c>
      <c r="L99" s="1" t="s">
        <v>10</v>
      </c>
    </row>
    <row r="100" spans="1:12" ht="12.75" x14ac:dyDescent="0.2">
      <c r="A100" s="2">
        <v>44168.754880995373</v>
      </c>
      <c r="B100" s="1" t="s">
        <v>11</v>
      </c>
      <c r="F100" s="1" t="s">
        <v>118</v>
      </c>
      <c r="K100" s="1" t="s">
        <v>23</v>
      </c>
    </row>
    <row r="101" spans="1:12" ht="12.75" x14ac:dyDescent="0.2">
      <c r="A101" s="2">
        <v>44168.754951435185</v>
      </c>
      <c r="B101" s="1" t="s">
        <v>15</v>
      </c>
      <c r="E101" s="1" t="s">
        <v>119</v>
      </c>
      <c r="K101" s="1" t="s">
        <v>6</v>
      </c>
    </row>
    <row r="102" spans="1:12" ht="12.75" x14ac:dyDescent="0.2">
      <c r="A102" s="2">
        <v>44168.755022083336</v>
      </c>
      <c r="B102" s="1" t="s">
        <v>35</v>
      </c>
      <c r="D102" s="1" t="s">
        <v>120</v>
      </c>
      <c r="K102" s="1" t="s">
        <v>59</v>
      </c>
    </row>
    <row r="103" spans="1:12" ht="12.75" x14ac:dyDescent="0.2">
      <c r="A103" s="2">
        <v>44168.755033900467</v>
      </c>
      <c r="B103" s="1" t="s">
        <v>35</v>
      </c>
      <c r="D103" s="1" t="s">
        <v>121</v>
      </c>
      <c r="K103" s="1" t="s">
        <v>23</v>
      </c>
    </row>
    <row r="104" spans="1:12" ht="12.75" x14ac:dyDescent="0.2">
      <c r="A104" s="2">
        <v>44168.755126400458</v>
      </c>
      <c r="B104" s="1" t="s">
        <v>28</v>
      </c>
      <c r="H104" s="1" t="s">
        <v>122</v>
      </c>
      <c r="L104" s="1" t="s">
        <v>10</v>
      </c>
    </row>
    <row r="105" spans="1:12" ht="12.75" x14ac:dyDescent="0.2">
      <c r="A105" s="2">
        <v>44168.755513518518</v>
      </c>
      <c r="B105" s="1" t="s">
        <v>35</v>
      </c>
      <c r="D105" s="1" t="s">
        <v>123</v>
      </c>
      <c r="K105" s="1" t="s">
        <v>61</v>
      </c>
    </row>
    <row r="106" spans="1:12" ht="12.75" x14ac:dyDescent="0.2">
      <c r="A106" s="2">
        <v>44168.75557760417</v>
      </c>
      <c r="B106" s="1" t="s">
        <v>15</v>
      </c>
      <c r="E106" s="1" t="s">
        <v>124</v>
      </c>
      <c r="K106" s="1" t="s">
        <v>61</v>
      </c>
    </row>
    <row r="107" spans="1:12" ht="12.75" x14ac:dyDescent="0.2">
      <c r="A107" s="2">
        <v>44168.755740624998</v>
      </c>
      <c r="B107" s="1" t="s">
        <v>35</v>
      </c>
      <c r="D107" s="1" t="s">
        <v>125</v>
      </c>
      <c r="K107" s="1" t="s">
        <v>59</v>
      </c>
    </row>
    <row r="108" spans="1:12" ht="12.75" x14ac:dyDescent="0.2">
      <c r="A108" s="2">
        <v>44168.756107592591</v>
      </c>
      <c r="B108" s="1" t="s">
        <v>28</v>
      </c>
      <c r="H108" s="1" t="s">
        <v>126</v>
      </c>
      <c r="L108" s="1" t="s">
        <v>6</v>
      </c>
    </row>
    <row r="109" spans="1:12" ht="12.75" x14ac:dyDescent="0.2">
      <c r="A109" s="2">
        <v>44168.756647569448</v>
      </c>
      <c r="B109" s="1" t="s">
        <v>4</v>
      </c>
      <c r="C109" s="1" t="s">
        <v>127</v>
      </c>
      <c r="K109" s="1" t="s">
        <v>6</v>
      </c>
    </row>
    <row r="110" spans="1:12" ht="12.75" x14ac:dyDescent="0.2">
      <c r="A110" s="2">
        <v>44168.756658055558</v>
      </c>
      <c r="B110" s="1" t="s">
        <v>11</v>
      </c>
      <c r="F110" s="1" t="s">
        <v>128</v>
      </c>
      <c r="K110" s="1" t="s">
        <v>23</v>
      </c>
    </row>
    <row r="111" spans="1:12" ht="12.75" x14ac:dyDescent="0.2">
      <c r="A111" s="2">
        <v>44168.756792083332</v>
      </c>
      <c r="B111" s="1" t="s">
        <v>11</v>
      </c>
      <c r="F111" s="1" t="s">
        <v>129</v>
      </c>
      <c r="K111" s="1" t="s">
        <v>61</v>
      </c>
    </row>
    <row r="112" spans="1:12" ht="12.75" x14ac:dyDescent="0.2">
      <c r="A112" s="2">
        <v>44168.757279664351</v>
      </c>
      <c r="B112" s="1" t="s">
        <v>28</v>
      </c>
      <c r="H112" s="1" t="s">
        <v>130</v>
      </c>
      <c r="L112" s="1" t="s">
        <v>23</v>
      </c>
    </row>
    <row r="113" spans="1:12" ht="12.75" x14ac:dyDescent="0.2">
      <c r="A113" s="2">
        <v>44168.757329143518</v>
      </c>
      <c r="B113" s="1" t="s">
        <v>11</v>
      </c>
      <c r="F113" s="1" t="s">
        <v>131</v>
      </c>
      <c r="K113" s="1" t="s">
        <v>23</v>
      </c>
    </row>
    <row r="114" spans="1:12" ht="12.75" x14ac:dyDescent="0.2">
      <c r="A114" s="2">
        <v>44168.757369212966</v>
      </c>
      <c r="B114" s="1" t="s">
        <v>11</v>
      </c>
      <c r="F114" s="1" t="s">
        <v>132</v>
      </c>
      <c r="K114" s="1" t="s">
        <v>6</v>
      </c>
    </row>
    <row r="115" spans="1:12" ht="12.75" x14ac:dyDescent="0.2">
      <c r="A115" s="2">
        <v>44168.757793645833</v>
      </c>
      <c r="B115" s="1" t="s">
        <v>28</v>
      </c>
      <c r="H115" s="1" t="s">
        <v>133</v>
      </c>
      <c r="L115" s="1" t="s">
        <v>23</v>
      </c>
    </row>
    <row r="116" spans="1:12" ht="12.75" x14ac:dyDescent="0.2">
      <c r="A116" s="2">
        <v>44168.758123101856</v>
      </c>
      <c r="B116" s="1" t="s">
        <v>26</v>
      </c>
      <c r="I116" s="1" t="s">
        <v>134</v>
      </c>
      <c r="L116" s="1" t="s">
        <v>59</v>
      </c>
    </row>
    <row r="117" spans="1:12" ht="12.75" x14ac:dyDescent="0.2">
      <c r="A117" s="2">
        <v>44168.75819064815</v>
      </c>
      <c r="B117" s="1" t="s">
        <v>11</v>
      </c>
      <c r="F117" s="1" t="s">
        <v>135</v>
      </c>
      <c r="K117" s="1" t="s">
        <v>23</v>
      </c>
    </row>
    <row r="118" spans="1:12" ht="12.75" x14ac:dyDescent="0.2">
      <c r="A118" s="2">
        <v>44168.758275416665</v>
      </c>
      <c r="B118" s="1" t="s">
        <v>35</v>
      </c>
      <c r="D118" s="1" t="s">
        <v>136</v>
      </c>
      <c r="K118" s="1" t="s">
        <v>61</v>
      </c>
    </row>
    <row r="119" spans="1:12" ht="12.75" x14ac:dyDescent="0.2">
      <c r="A119" s="2">
        <v>44168.75832241898</v>
      </c>
      <c r="B119" s="1" t="s">
        <v>11</v>
      </c>
      <c r="F119" s="1" t="s">
        <v>137</v>
      </c>
      <c r="K119" s="1" t="s">
        <v>23</v>
      </c>
    </row>
    <row r="120" spans="1:12" ht="12.75" x14ac:dyDescent="0.2">
      <c r="A120" s="2">
        <v>44168.758362418987</v>
      </c>
      <c r="B120" s="1" t="s">
        <v>26</v>
      </c>
      <c r="I120" s="1" t="s">
        <v>138</v>
      </c>
      <c r="L120" s="1" t="s">
        <v>59</v>
      </c>
    </row>
    <row r="121" spans="1:12" ht="12.75" x14ac:dyDescent="0.2">
      <c r="A121" s="2">
        <v>44168.758576192129</v>
      </c>
      <c r="B121" s="1" t="s">
        <v>8</v>
      </c>
      <c r="G121" s="1" t="s">
        <v>139</v>
      </c>
      <c r="L121" s="1" t="s">
        <v>10</v>
      </c>
    </row>
    <row r="122" spans="1:12" ht="12.75" x14ac:dyDescent="0.2">
      <c r="A122" s="2">
        <v>44168.758671863427</v>
      </c>
      <c r="B122" s="1" t="s">
        <v>11</v>
      </c>
      <c r="F122" s="1" t="s">
        <v>140</v>
      </c>
      <c r="K122" s="1" t="s">
        <v>61</v>
      </c>
    </row>
    <row r="123" spans="1:12" ht="12.75" x14ac:dyDescent="0.2">
      <c r="A123" s="2">
        <v>44168.758756840281</v>
      </c>
      <c r="B123" s="1" t="s">
        <v>8</v>
      </c>
      <c r="G123" s="1" t="s">
        <v>141</v>
      </c>
      <c r="L123" s="1" t="s">
        <v>30</v>
      </c>
    </row>
    <row r="124" spans="1:12" ht="12.75" x14ac:dyDescent="0.2">
      <c r="A124" s="2">
        <v>44168.759002256949</v>
      </c>
      <c r="B124" s="1" t="s">
        <v>28</v>
      </c>
      <c r="H124" s="1" t="s">
        <v>142</v>
      </c>
      <c r="L124" s="1" t="s">
        <v>10</v>
      </c>
    </row>
    <row r="125" spans="1:12" ht="12.75" x14ac:dyDescent="0.2">
      <c r="A125" s="2">
        <v>44168.75929574074</v>
      </c>
      <c r="B125" s="1" t="s">
        <v>15</v>
      </c>
      <c r="E125" s="1" t="s">
        <v>143</v>
      </c>
      <c r="K125" s="1" t="s">
        <v>61</v>
      </c>
    </row>
    <row r="126" spans="1:12" ht="12.75" x14ac:dyDescent="0.2">
      <c r="A126" s="2">
        <v>44168.759338298609</v>
      </c>
      <c r="B126" s="1" t="s">
        <v>11</v>
      </c>
      <c r="F126" s="1" t="s">
        <v>144</v>
      </c>
      <c r="K126" s="1" t="s">
        <v>61</v>
      </c>
    </row>
    <row r="127" spans="1:12" ht="12.75" x14ac:dyDescent="0.2">
      <c r="A127" s="2">
        <v>44168.759554282413</v>
      </c>
      <c r="B127" s="1" t="s">
        <v>11</v>
      </c>
      <c r="F127" s="1" t="s">
        <v>145</v>
      </c>
      <c r="K127" s="1" t="s">
        <v>59</v>
      </c>
    </row>
    <row r="128" spans="1:12" ht="12.75" x14ac:dyDescent="0.2">
      <c r="A128" s="2">
        <v>44168.759605925923</v>
      </c>
      <c r="B128" s="1" t="s">
        <v>8</v>
      </c>
      <c r="G128" s="1" t="s">
        <v>146</v>
      </c>
      <c r="L128" s="1" t="s">
        <v>59</v>
      </c>
    </row>
    <row r="129" spans="1:12" ht="12.75" x14ac:dyDescent="0.2">
      <c r="A129" s="2">
        <v>44168.760068773146</v>
      </c>
      <c r="B129" s="1" t="s">
        <v>26</v>
      </c>
      <c r="I129" s="1" t="s">
        <v>147</v>
      </c>
      <c r="L129" s="1" t="s">
        <v>59</v>
      </c>
    </row>
    <row r="130" spans="1:12" ht="12.75" x14ac:dyDescent="0.2">
      <c r="A130" s="2">
        <v>44168.760136226847</v>
      </c>
      <c r="B130" s="1" t="s">
        <v>35</v>
      </c>
      <c r="D130" s="1" t="s">
        <v>148</v>
      </c>
      <c r="K130" s="1" t="s">
        <v>23</v>
      </c>
    </row>
    <row r="131" spans="1:12" ht="12.75" x14ac:dyDescent="0.2">
      <c r="A131" s="2">
        <v>44168.760520289346</v>
      </c>
      <c r="B131" s="1" t="s">
        <v>8</v>
      </c>
      <c r="G131" s="1" t="s">
        <v>149</v>
      </c>
      <c r="L131" s="1" t="s">
        <v>6</v>
      </c>
    </row>
    <row r="132" spans="1:12" ht="12.75" x14ac:dyDescent="0.2">
      <c r="A132" s="2">
        <v>44168.760889664351</v>
      </c>
      <c r="B132" s="1" t="s">
        <v>35</v>
      </c>
      <c r="D132" s="1" t="s">
        <v>150</v>
      </c>
      <c r="K132" s="1" t="s">
        <v>61</v>
      </c>
    </row>
    <row r="133" spans="1:12" ht="12.75" x14ac:dyDescent="0.2">
      <c r="A133" s="2">
        <v>44168.761078819443</v>
      </c>
      <c r="B133" s="1" t="s">
        <v>8</v>
      </c>
      <c r="G133" s="1" t="s">
        <v>151</v>
      </c>
      <c r="L133" s="1" t="s">
        <v>10</v>
      </c>
    </row>
    <row r="134" spans="1:12" ht="12.75" x14ac:dyDescent="0.2">
      <c r="A134" s="2">
        <v>44168.76134780093</v>
      </c>
      <c r="B134" s="1" t="s">
        <v>35</v>
      </c>
      <c r="D134" s="1" t="s">
        <v>152</v>
      </c>
      <c r="K134" s="1" t="s">
        <v>61</v>
      </c>
    </row>
    <row r="135" spans="1:12" ht="12.75" x14ac:dyDescent="0.2">
      <c r="A135" s="2">
        <v>44168.761624027778</v>
      </c>
      <c r="B135" s="1" t="s">
        <v>4</v>
      </c>
      <c r="C135" s="1" t="s">
        <v>153</v>
      </c>
      <c r="K135" s="1" t="s">
        <v>23</v>
      </c>
    </row>
    <row r="136" spans="1:12" ht="12.75" x14ac:dyDescent="0.2">
      <c r="A136" s="2">
        <v>44168.762227754632</v>
      </c>
      <c r="B136" s="1" t="s">
        <v>28</v>
      </c>
      <c r="H136" s="1" t="s">
        <v>154</v>
      </c>
      <c r="L136" s="1" t="s">
        <v>10</v>
      </c>
    </row>
    <row r="137" spans="1:12" ht="12.75" x14ac:dyDescent="0.2">
      <c r="A137" s="2">
        <v>44168.763096643517</v>
      </c>
      <c r="B137" s="1" t="s">
        <v>35</v>
      </c>
      <c r="D137" s="1" t="s">
        <v>155</v>
      </c>
      <c r="K137" s="1" t="s">
        <v>59</v>
      </c>
    </row>
    <row r="138" spans="1:12" ht="12.75" x14ac:dyDescent="0.2">
      <c r="A138" s="2">
        <v>44168.763305428241</v>
      </c>
      <c r="B138" s="1" t="s">
        <v>26</v>
      </c>
      <c r="I138" s="1" t="s">
        <v>156</v>
      </c>
      <c r="L138" s="1" t="s">
        <v>59</v>
      </c>
    </row>
    <row r="139" spans="1:12" ht="12.75" x14ac:dyDescent="0.2">
      <c r="A139" s="2">
        <v>44168.763379756943</v>
      </c>
      <c r="B139" s="1" t="s">
        <v>35</v>
      </c>
      <c r="D139" s="1" t="s">
        <v>157</v>
      </c>
      <c r="K139" s="1" t="s">
        <v>59</v>
      </c>
    </row>
    <row r="140" spans="1:12" ht="12.75" x14ac:dyDescent="0.2">
      <c r="A140" s="2">
        <v>44168.763473171297</v>
      </c>
      <c r="B140" s="1" t="s">
        <v>26</v>
      </c>
      <c r="I140" s="1" t="s">
        <v>158</v>
      </c>
      <c r="L140" s="1" t="s">
        <v>59</v>
      </c>
    </row>
    <row r="141" spans="1:12" ht="12.75" x14ac:dyDescent="0.2">
      <c r="A141" s="2">
        <v>44168.76360262731</v>
      </c>
      <c r="B141" s="1" t="s">
        <v>11</v>
      </c>
      <c r="F141" s="1" t="s">
        <v>159</v>
      </c>
      <c r="K141" s="1" t="s">
        <v>59</v>
      </c>
    </row>
    <row r="142" spans="1:12" ht="12.75" x14ac:dyDescent="0.2">
      <c r="A142" s="2">
        <v>44168.764337638888</v>
      </c>
      <c r="B142" s="1" t="s">
        <v>35</v>
      </c>
      <c r="D142" s="1" t="s">
        <v>160</v>
      </c>
      <c r="K142" s="1" t="s">
        <v>59</v>
      </c>
    </row>
    <row r="143" spans="1:12" ht="12.75" x14ac:dyDescent="0.2">
      <c r="A143" s="2">
        <v>44168.765155671295</v>
      </c>
      <c r="B143" s="1" t="s">
        <v>15</v>
      </c>
      <c r="E143" s="1" t="s">
        <v>161</v>
      </c>
      <c r="K143" s="1" t="s">
        <v>23</v>
      </c>
    </row>
    <row r="144" spans="1:12" ht="12.75" x14ac:dyDescent="0.2">
      <c r="A144" s="2">
        <v>44168.766810277782</v>
      </c>
      <c r="B144" s="1" t="s">
        <v>11</v>
      </c>
      <c r="F144" s="1" t="s">
        <v>162</v>
      </c>
      <c r="K144" s="1" t="s">
        <v>23</v>
      </c>
    </row>
    <row r="145" spans="1:12" ht="12.75" x14ac:dyDescent="0.2">
      <c r="A145" s="2">
        <v>44168.767050254624</v>
      </c>
      <c r="B145" s="1" t="s">
        <v>8</v>
      </c>
      <c r="G145" s="1" t="s">
        <v>163</v>
      </c>
      <c r="L145" s="1" t="s">
        <v>10</v>
      </c>
    </row>
    <row r="146" spans="1:12" ht="12.75" x14ac:dyDescent="0.2">
      <c r="A146" s="2">
        <v>44168.767894791672</v>
      </c>
      <c r="B146" s="1" t="s">
        <v>15</v>
      </c>
      <c r="E146" s="1" t="s">
        <v>164</v>
      </c>
      <c r="K146" s="1" t="s">
        <v>23</v>
      </c>
    </row>
    <row r="147" spans="1:12" ht="12.75" x14ac:dyDescent="0.2">
      <c r="A147" s="2">
        <v>44168.768535011579</v>
      </c>
      <c r="B147" s="1" t="s">
        <v>28</v>
      </c>
      <c r="H147" s="1" t="s">
        <v>165</v>
      </c>
      <c r="L147" s="1" t="s">
        <v>166</v>
      </c>
    </row>
    <row r="148" spans="1:12" ht="12.75" x14ac:dyDescent="0.2">
      <c r="A148" s="2">
        <v>44168.770085509255</v>
      </c>
      <c r="B148" s="1" t="s">
        <v>28</v>
      </c>
      <c r="H148" s="1" t="s">
        <v>167</v>
      </c>
      <c r="L148" s="1" t="s">
        <v>30</v>
      </c>
    </row>
    <row r="149" spans="1:12" ht="12.75" x14ac:dyDescent="0.2">
      <c r="A149" s="2">
        <v>44168.772151446756</v>
      </c>
      <c r="B149" s="1" t="s">
        <v>11</v>
      </c>
      <c r="F149" s="1" t="s">
        <v>168</v>
      </c>
      <c r="K149" s="1" t="s">
        <v>23</v>
      </c>
    </row>
    <row r="150" spans="1:12" ht="12.75" x14ac:dyDescent="0.2">
      <c r="A150" s="2">
        <v>44168.772206678244</v>
      </c>
      <c r="B150" s="1" t="s">
        <v>4</v>
      </c>
      <c r="C150" s="1" t="s">
        <v>169</v>
      </c>
      <c r="K150" s="1" t="s">
        <v>23</v>
      </c>
    </row>
    <row r="151" spans="1:12" ht="12.75" x14ac:dyDescent="0.2">
      <c r="A151" s="2">
        <v>44168.772517511577</v>
      </c>
      <c r="B151" s="1" t="s">
        <v>8</v>
      </c>
      <c r="G151" s="1" t="s">
        <v>170</v>
      </c>
      <c r="L151" s="1" t="s">
        <v>10</v>
      </c>
    </row>
    <row r="152" spans="1:12" ht="12.75" x14ac:dyDescent="0.2">
      <c r="A152" s="2">
        <v>44168.774574131945</v>
      </c>
      <c r="B152" s="1" t="s">
        <v>4</v>
      </c>
      <c r="C152" s="1" t="s">
        <v>171</v>
      </c>
      <c r="K152" s="1" t="s">
        <v>61</v>
      </c>
    </row>
    <row r="153" spans="1:12" ht="12.75" x14ac:dyDescent="0.2">
      <c r="A153" s="2">
        <v>44168.779436192126</v>
      </c>
      <c r="B153" s="1" t="s">
        <v>28</v>
      </c>
      <c r="H153" s="1" t="s">
        <v>172</v>
      </c>
      <c r="L153" s="1" t="s">
        <v>23</v>
      </c>
    </row>
    <row r="154" spans="1:12" ht="12.75" x14ac:dyDescent="0.2">
      <c r="A154" s="2">
        <v>44168.782248125004</v>
      </c>
      <c r="B154" s="1" t="s">
        <v>8</v>
      </c>
      <c r="G154" s="1" t="s">
        <v>173</v>
      </c>
      <c r="L154" s="1" t="s">
        <v>6</v>
      </c>
    </row>
    <row r="155" spans="1:12" ht="12.75" x14ac:dyDescent="0.2">
      <c r="A155" s="2">
        <v>44168.783695972219</v>
      </c>
      <c r="B155" s="1" t="s">
        <v>35</v>
      </c>
      <c r="D155" s="1" t="s">
        <v>174</v>
      </c>
      <c r="K155" s="1" t="s">
        <v>59</v>
      </c>
    </row>
    <row r="156" spans="1:12" ht="12.75" x14ac:dyDescent="0.2">
      <c r="A156" s="2">
        <v>44168.78459549768</v>
      </c>
      <c r="B156" s="1" t="s">
        <v>35</v>
      </c>
      <c r="D156" s="1" t="s">
        <v>175</v>
      </c>
      <c r="K156" s="1" t="s">
        <v>23</v>
      </c>
    </row>
    <row r="157" spans="1:12" ht="12.75" x14ac:dyDescent="0.2">
      <c r="A157" s="2">
        <v>44168.785294652778</v>
      </c>
      <c r="B157" s="1" t="s">
        <v>8</v>
      </c>
      <c r="G157" s="1" t="s">
        <v>176</v>
      </c>
      <c r="L157" s="1" t="s">
        <v>59</v>
      </c>
    </row>
    <row r="158" spans="1:12" ht="12.75" x14ac:dyDescent="0.2">
      <c r="A158" s="2">
        <v>44168.786702476849</v>
      </c>
      <c r="B158" s="1" t="s">
        <v>8</v>
      </c>
      <c r="G158" s="1" t="s">
        <v>177</v>
      </c>
      <c r="L158" s="1" t="s">
        <v>10</v>
      </c>
    </row>
    <row r="159" spans="1:12" ht="12.75" x14ac:dyDescent="0.2">
      <c r="A159" s="2">
        <v>44168.787921493058</v>
      </c>
      <c r="B159" s="1" t="s">
        <v>8</v>
      </c>
      <c r="G159" s="1" t="s">
        <v>178</v>
      </c>
      <c r="L159" s="1" t="s">
        <v>59</v>
      </c>
    </row>
    <row r="160" spans="1:12" ht="12.75" x14ac:dyDescent="0.2">
      <c r="A160" s="2">
        <v>44168.789856516203</v>
      </c>
      <c r="B160" s="1" t="s">
        <v>8</v>
      </c>
      <c r="G160" s="1" t="s">
        <v>179</v>
      </c>
      <c r="L160" s="1" t="s">
        <v>180</v>
      </c>
    </row>
    <row r="161" spans="1:12" ht="12.75" x14ac:dyDescent="0.2">
      <c r="A161" s="2">
        <v>44168.791050694446</v>
      </c>
      <c r="B161" s="1" t="s">
        <v>8</v>
      </c>
      <c r="G161" s="1" t="s">
        <v>181</v>
      </c>
      <c r="L161" s="1" t="s">
        <v>25</v>
      </c>
    </row>
    <row r="162" spans="1:12" ht="12.75" x14ac:dyDescent="0.2">
      <c r="A162" s="2">
        <v>44168.791477430554</v>
      </c>
      <c r="B162" s="1" t="s">
        <v>28</v>
      </c>
      <c r="H162" s="1" t="s">
        <v>182</v>
      </c>
      <c r="L162" s="1" t="s">
        <v>30</v>
      </c>
    </row>
    <row r="163" spans="1:12" ht="12.75" x14ac:dyDescent="0.2">
      <c r="A163" s="2">
        <v>44168.793138946756</v>
      </c>
      <c r="B163" s="1" t="s">
        <v>8</v>
      </c>
      <c r="G163" s="1" t="s">
        <v>183</v>
      </c>
      <c r="L163" s="1" t="s">
        <v>6</v>
      </c>
    </row>
    <row r="164" spans="1:12" ht="12.75" x14ac:dyDescent="0.2">
      <c r="A164" s="2">
        <v>44168.794297442131</v>
      </c>
      <c r="B164" s="1" t="s">
        <v>28</v>
      </c>
      <c r="H164" s="1" t="s">
        <v>184</v>
      </c>
      <c r="L164" s="1" t="s">
        <v>166</v>
      </c>
    </row>
    <row r="165" spans="1:12" ht="12.75" x14ac:dyDescent="0.2">
      <c r="A165" s="2">
        <v>44168.794799456024</v>
      </c>
      <c r="B165" s="1" t="s">
        <v>28</v>
      </c>
      <c r="H165" s="1" t="s">
        <v>185</v>
      </c>
      <c r="L165" s="1" t="s">
        <v>59</v>
      </c>
    </row>
    <row r="166" spans="1:12" ht="12.75" x14ac:dyDescent="0.2">
      <c r="A166" s="2">
        <v>44168.797871689814</v>
      </c>
      <c r="B166" s="1" t="s">
        <v>28</v>
      </c>
      <c r="H166" s="1" t="s">
        <v>186</v>
      </c>
      <c r="L166" s="1" t="s">
        <v>30</v>
      </c>
    </row>
    <row r="167" spans="1:12" ht="12.75" x14ac:dyDescent="0.2">
      <c r="A167" s="2">
        <v>44168.798609942125</v>
      </c>
      <c r="B167" s="1" t="s">
        <v>35</v>
      </c>
      <c r="D167" s="1" t="s">
        <v>187</v>
      </c>
      <c r="K167" s="1" t="s">
        <v>23</v>
      </c>
    </row>
    <row r="168" spans="1:12" ht="12.75" x14ac:dyDescent="0.2">
      <c r="A168" s="2">
        <v>44168.800212187503</v>
      </c>
      <c r="B168" s="1" t="s">
        <v>28</v>
      </c>
      <c r="H168" s="1" t="s">
        <v>188</v>
      </c>
      <c r="L168" s="1" t="s">
        <v>30</v>
      </c>
    </row>
    <row r="169" spans="1:12" ht="12.75" x14ac:dyDescent="0.2">
      <c r="A169" s="2">
        <v>44168.825692928236</v>
      </c>
      <c r="B169" s="1" t="s">
        <v>11</v>
      </c>
      <c r="F169" s="1" t="s">
        <v>98</v>
      </c>
      <c r="K169" s="1" t="s">
        <v>59</v>
      </c>
    </row>
    <row r="170" spans="1:12" ht="12.75" x14ac:dyDescent="0.2">
      <c r="A170" s="2">
        <v>44168.826403321757</v>
      </c>
      <c r="B170" s="1" t="s">
        <v>4</v>
      </c>
      <c r="C170" s="1" t="s">
        <v>189</v>
      </c>
      <c r="K170" s="1" t="s">
        <v>61</v>
      </c>
    </row>
    <row r="171" spans="1:12" ht="12.75" x14ac:dyDescent="0.2">
      <c r="A171" s="2">
        <v>44168.826572407408</v>
      </c>
      <c r="B171" s="1" t="s">
        <v>4</v>
      </c>
      <c r="C171" s="1" t="s">
        <v>190</v>
      </c>
      <c r="K171" s="1" t="s">
        <v>61</v>
      </c>
    </row>
    <row r="172" spans="1:12" ht="12.75" x14ac:dyDescent="0.2">
      <c r="A172" s="2">
        <v>44168.835274282406</v>
      </c>
      <c r="B172" s="1" t="s">
        <v>4</v>
      </c>
      <c r="C172" s="1" t="s">
        <v>191</v>
      </c>
      <c r="K172" s="1" t="s">
        <v>13</v>
      </c>
    </row>
    <row r="173" spans="1:12" ht="12.75" x14ac:dyDescent="0.2">
      <c r="A173" s="2">
        <v>44168.838776053242</v>
      </c>
      <c r="B173" s="1" t="s">
        <v>35</v>
      </c>
      <c r="D173" s="1" t="s">
        <v>192</v>
      </c>
      <c r="K173" s="1" t="s">
        <v>6</v>
      </c>
    </row>
    <row r="174" spans="1:12" ht="12.75" x14ac:dyDescent="0.2">
      <c r="A174" s="2">
        <v>44168.840615034722</v>
      </c>
      <c r="B174" s="1" t="s">
        <v>8</v>
      </c>
      <c r="G174" s="1" t="s">
        <v>176</v>
      </c>
      <c r="L174" s="1" t="s">
        <v>59</v>
      </c>
    </row>
    <row r="175" spans="1:12" ht="12.75" x14ac:dyDescent="0.2">
      <c r="A175" s="2">
        <v>44168.843882071757</v>
      </c>
      <c r="B175" s="1" t="s">
        <v>26</v>
      </c>
      <c r="I175" s="1" t="s">
        <v>193</v>
      </c>
      <c r="L175" s="1" t="s">
        <v>166</v>
      </c>
    </row>
    <row r="176" spans="1:12" ht="12.75" x14ac:dyDescent="0.2">
      <c r="A176" s="2">
        <v>44168.844007094907</v>
      </c>
      <c r="B176" s="1" t="s">
        <v>26</v>
      </c>
      <c r="I176" s="1" t="s">
        <v>194</v>
      </c>
      <c r="L176" s="1" t="s">
        <v>166</v>
      </c>
    </row>
    <row r="177" spans="1:12" ht="12.75" x14ac:dyDescent="0.2">
      <c r="A177" s="2">
        <v>44168.845902210647</v>
      </c>
      <c r="B177" s="1" t="s">
        <v>26</v>
      </c>
      <c r="I177" s="1" t="s">
        <v>195</v>
      </c>
      <c r="L177" s="1" t="s">
        <v>166</v>
      </c>
    </row>
    <row r="178" spans="1:12" ht="12.75" x14ac:dyDescent="0.2">
      <c r="A178" s="2">
        <v>44168.849264629629</v>
      </c>
      <c r="B178" s="1" t="s">
        <v>4</v>
      </c>
      <c r="C178" s="1" t="s">
        <v>196</v>
      </c>
      <c r="K178" s="1" t="s">
        <v>6</v>
      </c>
    </row>
    <row r="179" spans="1:12" ht="12.75" x14ac:dyDescent="0.2">
      <c r="A179" s="2">
        <v>44168.850998981477</v>
      </c>
      <c r="B179" s="1" t="s">
        <v>26</v>
      </c>
      <c r="I179" s="1" t="s">
        <v>197</v>
      </c>
      <c r="L179" s="1" t="s">
        <v>166</v>
      </c>
    </row>
    <row r="180" spans="1:12" ht="12.75" x14ac:dyDescent="0.2">
      <c r="A180" s="2">
        <v>44168.851078159722</v>
      </c>
      <c r="B180" s="1" t="s">
        <v>4</v>
      </c>
      <c r="C180" s="1" t="s">
        <v>198</v>
      </c>
      <c r="K180" s="1" t="s">
        <v>61</v>
      </c>
    </row>
    <row r="181" spans="1:12" ht="12.75" x14ac:dyDescent="0.2">
      <c r="A181" s="2">
        <v>44168.85377342593</v>
      </c>
      <c r="B181" s="1" t="s">
        <v>4</v>
      </c>
      <c r="C181" s="1" t="s">
        <v>199</v>
      </c>
      <c r="K181" s="1" t="s">
        <v>61</v>
      </c>
    </row>
    <row r="182" spans="1:12" ht="12.75" x14ac:dyDescent="0.2">
      <c r="A182" s="2">
        <v>44168.855427372684</v>
      </c>
      <c r="B182" s="1" t="s">
        <v>11</v>
      </c>
      <c r="F182" s="1" t="s">
        <v>97</v>
      </c>
      <c r="K182" s="1" t="s">
        <v>59</v>
      </c>
    </row>
    <row r="183" spans="1:12" ht="12.75" x14ac:dyDescent="0.2">
      <c r="A183" s="2">
        <v>44168.855760486113</v>
      </c>
      <c r="B183" s="1" t="s">
        <v>4</v>
      </c>
      <c r="C183" s="1" t="s">
        <v>65</v>
      </c>
      <c r="K183" s="1" t="s">
        <v>61</v>
      </c>
    </row>
    <row r="184" spans="1:12" ht="12.75" x14ac:dyDescent="0.2">
      <c r="A184" s="2">
        <v>44168.857760115745</v>
      </c>
      <c r="B184" s="1" t="s">
        <v>4</v>
      </c>
      <c r="C184" s="1" t="s">
        <v>200</v>
      </c>
      <c r="K184" s="1" t="s">
        <v>201</v>
      </c>
    </row>
    <row r="185" spans="1:12" ht="12.75" x14ac:dyDescent="0.2">
      <c r="A185" s="2">
        <v>44168.863388518519</v>
      </c>
      <c r="B185" s="1" t="s">
        <v>26</v>
      </c>
      <c r="I185" s="1" t="s">
        <v>202</v>
      </c>
      <c r="L185" s="1" t="s">
        <v>166</v>
      </c>
    </row>
    <row r="186" spans="1:12" ht="12.75" x14ac:dyDescent="0.2">
      <c r="A186" s="2">
        <v>44168.867586990746</v>
      </c>
      <c r="B186" s="1" t="s">
        <v>15</v>
      </c>
      <c r="E186" s="1" t="s">
        <v>203</v>
      </c>
      <c r="K186" s="1" t="s">
        <v>23</v>
      </c>
    </row>
    <row r="187" spans="1:12" ht="12.75" x14ac:dyDescent="0.2">
      <c r="A187" s="2">
        <v>44168.868959120373</v>
      </c>
      <c r="B187" s="1" t="s">
        <v>11</v>
      </c>
      <c r="F187" s="1" t="s">
        <v>204</v>
      </c>
      <c r="K187" s="1" t="s">
        <v>201</v>
      </c>
    </row>
    <row r="188" spans="1:12" ht="12.75" x14ac:dyDescent="0.2">
      <c r="A188" s="2">
        <v>44168.868976273152</v>
      </c>
      <c r="B188" s="1" t="s">
        <v>11</v>
      </c>
      <c r="F188" s="1" t="s">
        <v>205</v>
      </c>
      <c r="K188" s="1" t="s">
        <v>201</v>
      </c>
    </row>
    <row r="189" spans="1:12" ht="12.75" x14ac:dyDescent="0.2">
      <c r="A189" s="2">
        <v>44168.871059004625</v>
      </c>
      <c r="B189" s="1" t="s">
        <v>35</v>
      </c>
      <c r="D189" s="1" t="s">
        <v>157</v>
      </c>
      <c r="K189" s="1" t="s">
        <v>59</v>
      </c>
    </row>
    <row r="190" spans="1:12" ht="12.75" x14ac:dyDescent="0.2">
      <c r="A190" s="2">
        <v>44168.874136574072</v>
      </c>
      <c r="B190" s="1" t="s">
        <v>26</v>
      </c>
      <c r="I190" s="1" t="s">
        <v>206</v>
      </c>
      <c r="L190" s="1" t="s">
        <v>59</v>
      </c>
    </row>
    <row r="191" spans="1:12" ht="12.75" x14ac:dyDescent="0.2">
      <c r="A191" s="2">
        <v>44168.874752083335</v>
      </c>
      <c r="B191" s="1" t="s">
        <v>8</v>
      </c>
      <c r="G191" s="1" t="s">
        <v>207</v>
      </c>
      <c r="L191" s="1" t="s">
        <v>166</v>
      </c>
    </row>
    <row r="192" spans="1:12" ht="12.75" x14ac:dyDescent="0.2">
      <c r="A192" s="2">
        <v>44168.88222738426</v>
      </c>
      <c r="B192" s="1" t="s">
        <v>11</v>
      </c>
      <c r="F192" s="1" t="s">
        <v>208</v>
      </c>
      <c r="K192" s="1" t="s">
        <v>201</v>
      </c>
    </row>
    <row r="193" spans="1:12" ht="12.75" x14ac:dyDescent="0.2">
      <c r="A193" s="2">
        <v>44168.882454918981</v>
      </c>
      <c r="B193" s="1" t="s">
        <v>4</v>
      </c>
      <c r="C193" s="1" t="s">
        <v>209</v>
      </c>
      <c r="K193" s="1" t="s">
        <v>201</v>
      </c>
    </row>
    <row r="194" spans="1:12" ht="12.75" x14ac:dyDescent="0.2">
      <c r="A194" s="2">
        <v>44168.88539945602</v>
      </c>
      <c r="B194" s="1" t="s">
        <v>11</v>
      </c>
      <c r="F194" s="1" t="s">
        <v>210</v>
      </c>
      <c r="K194" s="1" t="s">
        <v>201</v>
      </c>
    </row>
    <row r="195" spans="1:12" ht="12.75" x14ac:dyDescent="0.2">
      <c r="A195" s="2">
        <v>44168.889476365744</v>
      </c>
      <c r="B195" s="1" t="s">
        <v>11</v>
      </c>
      <c r="F195" s="1" t="s">
        <v>211</v>
      </c>
      <c r="K195" s="1" t="s">
        <v>59</v>
      </c>
    </row>
    <row r="196" spans="1:12" ht="12.75" x14ac:dyDescent="0.2">
      <c r="A196" s="2">
        <v>44168.896604293986</v>
      </c>
      <c r="B196" s="1" t="s">
        <v>28</v>
      </c>
      <c r="H196" s="1" t="s">
        <v>212</v>
      </c>
      <c r="L196" s="1" t="s">
        <v>23</v>
      </c>
    </row>
    <row r="197" spans="1:12" ht="12.75" x14ac:dyDescent="0.2">
      <c r="A197" s="2">
        <v>44168.909502268521</v>
      </c>
      <c r="B197" s="1" t="s">
        <v>8</v>
      </c>
      <c r="G197" s="1" t="s">
        <v>113</v>
      </c>
      <c r="L197" s="1" t="s">
        <v>6</v>
      </c>
    </row>
    <row r="198" spans="1:12" ht="12.75" x14ac:dyDescent="0.2">
      <c r="A198" s="2">
        <v>44168.909616736113</v>
      </c>
      <c r="B198" s="1" t="s">
        <v>11</v>
      </c>
      <c r="F198" s="1" t="s">
        <v>213</v>
      </c>
      <c r="K198" s="1" t="s">
        <v>201</v>
      </c>
    </row>
    <row r="199" spans="1:12" ht="12.75" x14ac:dyDescent="0.2">
      <c r="A199" s="2">
        <v>44168.911819421293</v>
      </c>
      <c r="B199" s="1" t="s">
        <v>8</v>
      </c>
      <c r="G199" s="1" t="s">
        <v>178</v>
      </c>
      <c r="L199" s="1" t="s">
        <v>59</v>
      </c>
    </row>
    <row r="200" spans="1:12" ht="12.75" x14ac:dyDescent="0.2">
      <c r="A200" s="2">
        <v>44168.949595833328</v>
      </c>
      <c r="B200" s="1" t="s">
        <v>4</v>
      </c>
      <c r="C200" s="1" t="s">
        <v>214</v>
      </c>
      <c r="K200" s="1" t="s">
        <v>201</v>
      </c>
    </row>
    <row r="201" spans="1:12" ht="12.75" x14ac:dyDescent="0.2">
      <c r="A201" s="2">
        <v>44168.952006157408</v>
      </c>
      <c r="B201" s="1" t="s">
        <v>15</v>
      </c>
      <c r="E201" s="1" t="s">
        <v>215</v>
      </c>
      <c r="K201" s="1" t="s">
        <v>201</v>
      </c>
    </row>
    <row r="202" spans="1:12" ht="12.75" x14ac:dyDescent="0.2">
      <c r="A202" s="2">
        <v>44169.163393124996</v>
      </c>
      <c r="B202" s="1" t="s">
        <v>26</v>
      </c>
      <c r="I202" s="1" t="s">
        <v>193</v>
      </c>
      <c r="L202" s="1" t="s">
        <v>166</v>
      </c>
    </row>
    <row r="203" spans="1:12" ht="12.75" x14ac:dyDescent="0.2">
      <c r="A203" s="2">
        <v>44169.321539502314</v>
      </c>
      <c r="B203" s="1" t="s">
        <v>4</v>
      </c>
      <c r="C203" s="1" t="s">
        <v>216</v>
      </c>
      <c r="K203" s="1" t="s">
        <v>201</v>
      </c>
    </row>
    <row r="204" spans="1:12" ht="12.75" x14ac:dyDescent="0.2">
      <c r="A204" s="2">
        <v>44169.374099652778</v>
      </c>
      <c r="B204" s="1" t="s">
        <v>11</v>
      </c>
      <c r="F204" s="1" t="s">
        <v>217</v>
      </c>
      <c r="K204" s="1" t="s">
        <v>201</v>
      </c>
    </row>
    <row r="205" spans="1:12" ht="12.75" x14ac:dyDescent="0.2">
      <c r="A205" s="2">
        <v>44169.399608125001</v>
      </c>
      <c r="B205" s="1" t="s">
        <v>11</v>
      </c>
      <c r="F205" s="1" t="s">
        <v>218</v>
      </c>
      <c r="K205" s="1" t="s">
        <v>201</v>
      </c>
    </row>
    <row r="206" spans="1:12" ht="12.75" x14ac:dyDescent="0.2">
      <c r="A206" s="2">
        <v>44169.399789074072</v>
      </c>
      <c r="B206" s="1" t="s">
        <v>11</v>
      </c>
      <c r="F206" s="1" t="s">
        <v>219</v>
      </c>
      <c r="K206" s="1" t="s">
        <v>201</v>
      </c>
    </row>
    <row r="207" spans="1:12" ht="12.75" x14ac:dyDescent="0.2">
      <c r="A207" s="2">
        <v>44169.413270196761</v>
      </c>
      <c r="B207" s="1" t="s">
        <v>11</v>
      </c>
      <c r="F207" s="1" t="s">
        <v>220</v>
      </c>
      <c r="K207" s="1" t="s">
        <v>201</v>
      </c>
    </row>
    <row r="208" spans="1:12" ht="12.75" x14ac:dyDescent="0.2">
      <c r="A208" s="2">
        <v>44169.417156458338</v>
      </c>
      <c r="B208" s="1" t="s">
        <v>26</v>
      </c>
      <c r="I208" s="1" t="s">
        <v>221</v>
      </c>
      <c r="L208" s="1" t="s">
        <v>6</v>
      </c>
    </row>
    <row r="209" spans="1:12" ht="12.75" x14ac:dyDescent="0.2">
      <c r="A209" s="2">
        <v>44169.425189525464</v>
      </c>
      <c r="B209" s="1" t="s">
        <v>28</v>
      </c>
      <c r="H209" s="1" t="s">
        <v>222</v>
      </c>
      <c r="L209" s="1" t="s">
        <v>166</v>
      </c>
    </row>
    <row r="210" spans="1:12" ht="12.75" x14ac:dyDescent="0.2">
      <c r="A210" s="2">
        <v>44169.425348634264</v>
      </c>
      <c r="B210" s="1" t="s">
        <v>28</v>
      </c>
      <c r="H210" s="1" t="s">
        <v>223</v>
      </c>
      <c r="L210" s="1" t="s">
        <v>180</v>
      </c>
    </row>
    <row r="211" spans="1:12" ht="12.75" x14ac:dyDescent="0.2">
      <c r="A211" s="2">
        <v>44169.454449525467</v>
      </c>
      <c r="B211" s="1" t="s">
        <v>4</v>
      </c>
      <c r="C211" s="1" t="s">
        <v>209</v>
      </c>
      <c r="K211" s="1" t="s">
        <v>201</v>
      </c>
    </row>
    <row r="212" spans="1:12" ht="12.75" x14ac:dyDescent="0.2">
      <c r="A212" s="2">
        <v>44169.477654259259</v>
      </c>
      <c r="B212" s="1" t="s">
        <v>4</v>
      </c>
      <c r="C212" s="1" t="s">
        <v>214</v>
      </c>
      <c r="K212" s="1" t="s">
        <v>201</v>
      </c>
    </row>
    <row r="213" spans="1:12" ht="12.75" x14ac:dyDescent="0.2">
      <c r="A213" s="2">
        <v>44169.50712652778</v>
      </c>
      <c r="B213" s="1" t="s">
        <v>35</v>
      </c>
      <c r="D213" s="1" t="s">
        <v>224</v>
      </c>
      <c r="K213" s="1" t="s">
        <v>201</v>
      </c>
    </row>
    <row r="214" spans="1:12" ht="12.75" x14ac:dyDescent="0.2">
      <c r="A214" s="2">
        <v>44169.573691585647</v>
      </c>
      <c r="B214" s="1" t="s">
        <v>26</v>
      </c>
      <c r="I214" s="1" t="s">
        <v>221</v>
      </c>
      <c r="L214" s="1" t="s">
        <v>6</v>
      </c>
    </row>
    <row r="215" spans="1:12" ht="12.75" x14ac:dyDescent="0.2">
      <c r="A215" s="2">
        <v>44169.721867916669</v>
      </c>
      <c r="B215" s="1" t="s">
        <v>26</v>
      </c>
      <c r="I215" s="1" t="s">
        <v>225</v>
      </c>
      <c r="L215" s="1" t="s">
        <v>25</v>
      </c>
    </row>
    <row r="216" spans="1:12" ht="12.75" x14ac:dyDescent="0.2">
      <c r="A216" s="2">
        <v>44169.784376967596</v>
      </c>
      <c r="B216" s="1" t="s">
        <v>35</v>
      </c>
      <c r="D216" s="1" t="s">
        <v>224</v>
      </c>
      <c r="K216" s="1" t="s">
        <v>201</v>
      </c>
    </row>
    <row r="217" spans="1:12" ht="12.75" x14ac:dyDescent="0.2">
      <c r="A217" s="2">
        <v>44169.833822673609</v>
      </c>
      <c r="B217" s="1" t="s">
        <v>8</v>
      </c>
      <c r="G217" s="1" t="s">
        <v>226</v>
      </c>
      <c r="L217" s="1" t="s">
        <v>6</v>
      </c>
    </row>
    <row r="218" spans="1:12" ht="12.75" x14ac:dyDescent="0.2">
      <c r="A218" s="2">
        <v>44169.879873321755</v>
      </c>
      <c r="B218" s="1" t="s">
        <v>26</v>
      </c>
      <c r="I218" s="1" t="s">
        <v>227</v>
      </c>
      <c r="L218" s="1" t="s">
        <v>25</v>
      </c>
    </row>
    <row r="219" spans="1:12" ht="12.75" x14ac:dyDescent="0.2">
      <c r="A219" s="2">
        <v>44169.879926018519</v>
      </c>
      <c r="B219" s="1" t="s">
        <v>26</v>
      </c>
      <c r="I219" s="1" t="s">
        <v>228</v>
      </c>
      <c r="L219" s="1" t="s">
        <v>25</v>
      </c>
    </row>
    <row r="220" spans="1:12" ht="12.75" x14ac:dyDescent="0.2">
      <c r="A220" s="2">
        <v>44169.881000763889</v>
      </c>
      <c r="B220" s="1" t="s">
        <v>26</v>
      </c>
      <c r="I220" s="1" t="s">
        <v>229</v>
      </c>
      <c r="L220" s="1" t="s">
        <v>166</v>
      </c>
    </row>
    <row r="221" spans="1:12" ht="12.75" x14ac:dyDescent="0.2">
      <c r="A221" s="2">
        <v>44169.881885856477</v>
      </c>
      <c r="B221" s="1" t="s">
        <v>26</v>
      </c>
      <c r="I221" s="1" t="s">
        <v>230</v>
      </c>
      <c r="L221" s="1" t="s">
        <v>25</v>
      </c>
    </row>
    <row r="222" spans="1:12" ht="12.75" x14ac:dyDescent="0.2">
      <c r="A222" s="2">
        <v>44169.888705196761</v>
      </c>
      <c r="B222" s="1" t="s">
        <v>26</v>
      </c>
      <c r="I222" s="1" t="s">
        <v>231</v>
      </c>
      <c r="L222" s="1" t="s">
        <v>166</v>
      </c>
    </row>
    <row r="223" spans="1:12" ht="12.75" x14ac:dyDescent="0.2">
      <c r="A223" s="2">
        <v>44169.88929334491</v>
      </c>
      <c r="B223" s="1" t="s">
        <v>26</v>
      </c>
      <c r="I223" s="1" t="s">
        <v>232</v>
      </c>
      <c r="L223" s="1" t="s">
        <v>180</v>
      </c>
    </row>
    <row r="224" spans="1:12" ht="12.75" x14ac:dyDescent="0.2">
      <c r="A224" s="2">
        <v>44169.88982971065</v>
      </c>
      <c r="B224" s="1" t="s">
        <v>26</v>
      </c>
      <c r="I224" s="1" t="s">
        <v>233</v>
      </c>
      <c r="L224" s="1" t="s">
        <v>166</v>
      </c>
    </row>
    <row r="225" spans="1:12" ht="12.75" x14ac:dyDescent="0.2">
      <c r="A225" s="2">
        <v>44169.890476307875</v>
      </c>
      <c r="B225" s="1" t="s">
        <v>26</v>
      </c>
      <c r="I225" s="1" t="s">
        <v>234</v>
      </c>
      <c r="L225" s="1" t="s">
        <v>166</v>
      </c>
    </row>
    <row r="226" spans="1:12" ht="12.75" x14ac:dyDescent="0.2">
      <c r="A226" s="2">
        <v>44169.894009953699</v>
      </c>
      <c r="B226" s="1" t="s">
        <v>26</v>
      </c>
      <c r="I226" s="1" t="s">
        <v>235</v>
      </c>
      <c r="L226" s="1" t="s">
        <v>25</v>
      </c>
    </row>
    <row r="227" spans="1:12" ht="12.75" x14ac:dyDescent="0.2">
      <c r="A227" s="2">
        <v>44169.917416458338</v>
      </c>
      <c r="B227" s="1" t="s">
        <v>26</v>
      </c>
      <c r="I227" s="1" t="s">
        <v>236</v>
      </c>
      <c r="L227" s="1" t="s">
        <v>25</v>
      </c>
    </row>
    <row r="228" spans="1:12" ht="12.75" x14ac:dyDescent="0.2">
      <c r="A228" s="2">
        <v>44169.939885752319</v>
      </c>
      <c r="B228" s="1" t="s">
        <v>26</v>
      </c>
      <c r="I228" s="1" t="s">
        <v>237</v>
      </c>
      <c r="L228" s="1" t="s">
        <v>180</v>
      </c>
    </row>
    <row r="229" spans="1:12" ht="12.75" x14ac:dyDescent="0.2">
      <c r="A229" s="2">
        <v>44169.94256166667</v>
      </c>
      <c r="B229" s="1" t="s">
        <v>26</v>
      </c>
      <c r="I229" s="1" t="s">
        <v>238</v>
      </c>
      <c r="L229" s="1" t="s">
        <v>180</v>
      </c>
    </row>
    <row r="230" spans="1:12" ht="12.75" x14ac:dyDescent="0.2">
      <c r="A230" s="2">
        <v>44170.535486875</v>
      </c>
      <c r="B230" s="1" t="s">
        <v>11</v>
      </c>
      <c r="F230" s="1" t="s">
        <v>219</v>
      </c>
      <c r="K230" s="1" t="s">
        <v>201</v>
      </c>
    </row>
    <row r="231" spans="1:12" ht="12.75" x14ac:dyDescent="0.2">
      <c r="A231" s="2">
        <v>44170.545050324072</v>
      </c>
      <c r="B231" s="1" t="s">
        <v>26</v>
      </c>
      <c r="I231" s="1" t="s">
        <v>239</v>
      </c>
      <c r="L231" s="1" t="s">
        <v>23</v>
      </c>
    </row>
    <row r="232" spans="1:12" ht="12.75" x14ac:dyDescent="0.2">
      <c r="A232" s="2">
        <v>44170.66736806713</v>
      </c>
      <c r="B232" s="1" t="s">
        <v>26</v>
      </c>
      <c r="I232" s="1" t="s">
        <v>240</v>
      </c>
      <c r="L232" s="1" t="s">
        <v>25</v>
      </c>
    </row>
    <row r="233" spans="1:12" ht="12.75" x14ac:dyDescent="0.2">
      <c r="A233" s="2">
        <v>44170.908897395835</v>
      </c>
      <c r="B233" s="1" t="s">
        <v>26</v>
      </c>
      <c r="I233" s="1" t="s">
        <v>240</v>
      </c>
      <c r="L233" s="1" t="s">
        <v>25</v>
      </c>
    </row>
    <row r="234" spans="1:12" ht="12.75" x14ac:dyDescent="0.2">
      <c r="A234" s="2">
        <v>44171.648866967589</v>
      </c>
      <c r="B234" s="1" t="s">
        <v>4</v>
      </c>
      <c r="C234" s="1" t="s">
        <v>241</v>
      </c>
      <c r="K234" s="1" t="s">
        <v>201</v>
      </c>
    </row>
    <row r="235" spans="1:12" ht="12.75" x14ac:dyDescent="0.2">
      <c r="A235" s="2">
        <v>44171.770597002316</v>
      </c>
      <c r="B235" s="1" t="s">
        <v>26</v>
      </c>
      <c r="I235" s="1" t="s">
        <v>242</v>
      </c>
      <c r="L235" s="1" t="s">
        <v>180</v>
      </c>
    </row>
    <row r="236" spans="1:12" ht="12.75" x14ac:dyDescent="0.2">
      <c r="A236" s="2">
        <v>44171.772144097224</v>
      </c>
      <c r="B236" s="1" t="s">
        <v>26</v>
      </c>
      <c r="I236" s="1" t="s">
        <v>242</v>
      </c>
      <c r="L236" s="1" t="s">
        <v>180</v>
      </c>
    </row>
    <row r="237" spans="1:12" ht="12.75" x14ac:dyDescent="0.2">
      <c r="A237" s="2">
        <v>44171.77332555555</v>
      </c>
      <c r="B237" s="1" t="s">
        <v>26</v>
      </c>
      <c r="I237" s="1" t="s">
        <v>243</v>
      </c>
      <c r="L237" s="1" t="s">
        <v>6</v>
      </c>
    </row>
    <row r="238" spans="1:12" ht="12.75" x14ac:dyDescent="0.2">
      <c r="A238" s="2">
        <v>44171.831985335652</v>
      </c>
      <c r="B238" s="1" t="s">
        <v>26</v>
      </c>
      <c r="I238" s="1" t="s">
        <v>244</v>
      </c>
      <c r="L238" s="1" t="s">
        <v>25</v>
      </c>
    </row>
    <row r="239" spans="1:12" ht="12.75" x14ac:dyDescent="0.2">
      <c r="A239" s="2">
        <v>44171.910499201389</v>
      </c>
      <c r="B239" s="1" t="s">
        <v>28</v>
      </c>
      <c r="H239" s="1" t="s">
        <v>245</v>
      </c>
      <c r="L239" s="1" t="s">
        <v>23</v>
      </c>
    </row>
    <row r="240" spans="1:12" ht="12.75" x14ac:dyDescent="0.2">
      <c r="A240" s="2">
        <v>44171.911133958332</v>
      </c>
      <c r="B240" s="1" t="s">
        <v>28</v>
      </c>
      <c r="H240" s="1" t="s">
        <v>246</v>
      </c>
      <c r="L240" s="1" t="s">
        <v>23</v>
      </c>
    </row>
    <row r="241" spans="1:12" ht="12.75" x14ac:dyDescent="0.2">
      <c r="A241" s="2">
        <v>44172.377138101852</v>
      </c>
      <c r="B241" s="1" t="s">
        <v>26</v>
      </c>
      <c r="I241" s="1" t="s">
        <v>247</v>
      </c>
      <c r="L241" s="1" t="s">
        <v>6</v>
      </c>
    </row>
    <row r="242" spans="1:12" ht="12.75" x14ac:dyDescent="0.2">
      <c r="A242" s="2">
        <v>44172.377404791667</v>
      </c>
      <c r="B242" s="1" t="s">
        <v>26</v>
      </c>
      <c r="I242" s="1" t="s">
        <v>248</v>
      </c>
      <c r="L242" s="1" t="s">
        <v>6</v>
      </c>
    </row>
    <row r="243" spans="1:12" ht="12.75" x14ac:dyDescent="0.2">
      <c r="A243" s="2">
        <v>44172.44467232639</v>
      </c>
      <c r="B243" s="1" t="s">
        <v>11</v>
      </c>
      <c r="F243" s="1" t="s">
        <v>249</v>
      </c>
      <c r="K243" s="1" t="e">
        <v>#N/A</v>
      </c>
    </row>
    <row r="244" spans="1:12" ht="12.75" x14ac:dyDescent="0.2">
      <c r="A244" s="2">
        <v>44172.562204710644</v>
      </c>
      <c r="B244" s="1" t="s">
        <v>28</v>
      </c>
      <c r="H244" s="1" t="s">
        <v>250</v>
      </c>
      <c r="L244" s="1" t="s">
        <v>23</v>
      </c>
    </row>
    <row r="245" spans="1:12" ht="12.75" x14ac:dyDescent="0.2">
      <c r="A245" s="2">
        <v>44172.65178458333</v>
      </c>
      <c r="B245" s="1" t="s">
        <v>28</v>
      </c>
      <c r="H245" s="1" t="s">
        <v>245</v>
      </c>
      <c r="L245" s="1" t="s">
        <v>23</v>
      </c>
    </row>
    <row r="246" spans="1:12" ht="12.75" x14ac:dyDescent="0.2">
      <c r="A246" s="2">
        <v>44172.772844270832</v>
      </c>
      <c r="B246" s="1" t="s">
        <v>28</v>
      </c>
      <c r="H246" s="1" t="s">
        <v>246</v>
      </c>
      <c r="L246" s="1" t="s">
        <v>23</v>
      </c>
    </row>
    <row r="247" spans="1:12" ht="12.75" x14ac:dyDescent="0.2">
      <c r="A247" s="2">
        <v>44172.773627418981</v>
      </c>
      <c r="B247" s="1" t="s">
        <v>28</v>
      </c>
      <c r="H247" s="1" t="s">
        <v>251</v>
      </c>
      <c r="L247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6"/>
  <sheetViews>
    <sheetView workbookViewId="0">
      <selection activeCell="C1" sqref="C1"/>
    </sheetView>
  </sheetViews>
  <sheetFormatPr baseColWidth="10" defaultColWidth="14.42578125" defaultRowHeight="15.75" customHeight="1" x14ac:dyDescent="0.2"/>
  <cols>
    <col min="1" max="1" width="25.85546875" customWidth="1"/>
    <col min="4" max="4" width="20.7109375" customWidth="1"/>
    <col min="5" max="5" width="25.42578125" customWidth="1"/>
    <col min="10" max="10" width="24.140625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31</v>
      </c>
      <c r="B2" s="1">
        <v>1</v>
      </c>
      <c r="C2">
        <f ca="1">IFERROR(__xludf.DUMMYFUNCTION("counta(iferror(filter('Réponses au formulaire 1'!C:C,'Réponses au formulaire 1'!C:C=A2)))"),1)</f>
        <v>1</v>
      </c>
      <c r="D2" t="str">
        <f t="shared" ref="D2:D36" ca="1" si="0">IF(B2&gt;C2,A2,"")</f>
        <v/>
      </c>
      <c r="E2" t="str">
        <f ca="1">IFERROR(__xludf.DUMMYFUNCTION("filter(D2:D36,D2:D36&lt;&gt;"""")"),"CHESNEL JULIEN")</f>
        <v>CHESNEL JULIEN</v>
      </c>
      <c r="H2" s="3" t="s">
        <v>257</v>
      </c>
      <c r="I2" s="3" t="s">
        <v>258</v>
      </c>
      <c r="J2" t="str">
        <f t="shared" ref="J2:J36" si="1">UPPER(H2&amp;" "&amp;I2)</f>
        <v>ALLEGOET EMELINE</v>
      </c>
    </row>
    <row r="3" spans="1:10" x14ac:dyDescent="0.25">
      <c r="A3" t="s">
        <v>110</v>
      </c>
      <c r="B3" s="1">
        <v>1</v>
      </c>
      <c r="C3">
        <f ca="1">IFERROR(__xludf.DUMMYFUNCTION("counta(iferror(filter('Réponses au formulaire 1'!C:C,'Réponses au formulaire 1'!C:C=A3)))"),1)</f>
        <v>1</v>
      </c>
      <c r="D3" t="str">
        <f t="shared" ca="1" si="0"/>
        <v/>
      </c>
      <c r="E3" t="str">
        <f ca="1">IFERROR(__xludf.DUMMYFUNCTION("""COMPUTED_VALUE"""),"DACLIN GRÉGOIRE")</f>
        <v>DACLIN GRÉGOIRE</v>
      </c>
      <c r="H3" s="4" t="s">
        <v>259</v>
      </c>
      <c r="I3" s="4" t="s">
        <v>260</v>
      </c>
      <c r="J3" t="str">
        <f t="shared" si="1"/>
        <v>ARGOULON JEAN-CAMILLE</v>
      </c>
    </row>
    <row r="4" spans="1:10" x14ac:dyDescent="0.25">
      <c r="A4" t="s">
        <v>7</v>
      </c>
      <c r="B4" s="1">
        <v>1</v>
      </c>
      <c r="C4">
        <f ca="1">IFERROR(__xludf.DUMMYFUNCTION("counta(iferror(filter('Réponses au formulaire 1'!C:C,'Réponses au formulaire 1'!C:C=A4)))"),1)</f>
        <v>1</v>
      </c>
      <c r="D4" t="str">
        <f t="shared" ca="1" si="0"/>
        <v/>
      </c>
      <c r="E4" t="str">
        <f ca="1">IFERROR(__xludf.DUMMYFUNCTION("""COMPUTED_VALUE"""),"GRISEL JULIEN")</f>
        <v>GRISEL JULIEN</v>
      </c>
      <c r="H4" s="3" t="s">
        <v>261</v>
      </c>
      <c r="I4" s="3" t="s">
        <v>262</v>
      </c>
      <c r="J4" t="str">
        <f t="shared" si="1"/>
        <v>BALK CLEMENTINE</v>
      </c>
    </row>
    <row r="5" spans="1:10" x14ac:dyDescent="0.25">
      <c r="A5" t="s">
        <v>22</v>
      </c>
      <c r="B5" s="1">
        <v>1</v>
      </c>
      <c r="C5">
        <f ca="1">IFERROR(__xludf.DUMMYFUNCTION("counta(iferror(filter('Réponses au formulaire 1'!C:C,'Réponses au formulaire 1'!C:C=A5)))"),1)</f>
        <v>1</v>
      </c>
      <c r="D5" t="str">
        <f t="shared" ca="1" si="0"/>
        <v/>
      </c>
      <c r="E5" t="str">
        <f ca="1">IFERROR(__xludf.DUMMYFUNCTION("""COMPUTED_VALUE"""),"KOWALSKI VICTOIRE")</f>
        <v>KOWALSKI VICTOIRE</v>
      </c>
      <c r="H5" s="4" t="s">
        <v>263</v>
      </c>
      <c r="I5" s="4" t="s">
        <v>264</v>
      </c>
      <c r="J5" t="str">
        <f t="shared" si="1"/>
        <v>BERTHELOT-MOAL MARGAUX</v>
      </c>
    </row>
    <row r="6" spans="1:10" x14ac:dyDescent="0.25">
      <c r="A6" t="s">
        <v>51</v>
      </c>
      <c r="B6" s="1">
        <v>1</v>
      </c>
      <c r="C6">
        <f ca="1">IFERROR(__xludf.DUMMYFUNCTION("counta(iferror(filter('Réponses au formulaire 1'!C:C,'Réponses au formulaire 1'!C:C=A6)))"),1)</f>
        <v>1</v>
      </c>
      <c r="D6" t="str">
        <f t="shared" ca="1" si="0"/>
        <v/>
      </c>
      <c r="H6" s="3" t="s">
        <v>265</v>
      </c>
      <c r="I6" s="3" t="s">
        <v>266</v>
      </c>
      <c r="J6" t="str">
        <f t="shared" si="1"/>
        <v>BERTHOULOUX EVE</v>
      </c>
    </row>
    <row r="7" spans="1:10" x14ac:dyDescent="0.25">
      <c r="A7" t="s">
        <v>44</v>
      </c>
      <c r="B7" s="1">
        <v>1</v>
      </c>
      <c r="C7">
        <f ca="1">IFERROR(__xludf.DUMMYFUNCTION("counta(iferror(filter('Réponses au formulaire 1'!C:C,'Réponses au formulaire 1'!C:C=A7)))"),1)</f>
        <v>1</v>
      </c>
      <c r="D7" t="str">
        <f t="shared" ca="1" si="0"/>
        <v/>
      </c>
      <c r="H7" s="4" t="s">
        <v>267</v>
      </c>
      <c r="I7" s="4" t="s">
        <v>268</v>
      </c>
      <c r="J7" t="str">
        <f t="shared" si="1"/>
        <v>BINET ANTOINE</v>
      </c>
    </row>
    <row r="8" spans="1:10" x14ac:dyDescent="0.25">
      <c r="A8" t="s">
        <v>169</v>
      </c>
      <c r="B8" s="1">
        <v>1</v>
      </c>
      <c r="C8">
        <f ca="1">IFERROR(__xludf.DUMMYFUNCTION("counta(iferror(filter('Réponses au formulaire 1'!C:C,'Réponses au formulaire 1'!C:C=A8)))"),1)</f>
        <v>1</v>
      </c>
      <c r="D8" t="str">
        <f t="shared" ca="1" si="0"/>
        <v/>
      </c>
      <c r="H8" s="5" t="s">
        <v>269</v>
      </c>
      <c r="I8" s="5" t="s">
        <v>270</v>
      </c>
      <c r="J8" t="str">
        <f t="shared" si="1"/>
        <v>CABIOCH YANIS</v>
      </c>
    </row>
    <row r="9" spans="1:10" x14ac:dyDescent="0.25">
      <c r="A9" t="s">
        <v>271</v>
      </c>
      <c r="B9" s="1">
        <v>1</v>
      </c>
      <c r="C9">
        <f ca="1">IFERROR(__xludf.DUMMYFUNCTION("counta(iferror(filter('Réponses au formulaire 1'!C:C,'Réponses au formulaire 1'!C:C=A9)))"),0)</f>
        <v>0</v>
      </c>
      <c r="D9" t="str">
        <f t="shared" ca="1" si="0"/>
        <v>CHESNEL JULIEN</v>
      </c>
      <c r="H9" s="3" t="s">
        <v>272</v>
      </c>
      <c r="I9" s="3" t="s">
        <v>273</v>
      </c>
      <c r="J9" t="str">
        <f t="shared" si="1"/>
        <v>CHESNEL JULIEN</v>
      </c>
    </row>
    <row r="10" spans="1:10" x14ac:dyDescent="0.25">
      <c r="A10" t="s">
        <v>191</v>
      </c>
      <c r="B10" s="1">
        <v>1</v>
      </c>
      <c r="C10">
        <f ca="1">IFERROR(__xludf.DUMMYFUNCTION("counta(iferror(filter('Réponses au formulaire 1'!C:C,'Réponses au formulaire 1'!C:C=A10)))"),1)</f>
        <v>1</v>
      </c>
      <c r="D10" t="str">
        <f t="shared" ca="1" si="0"/>
        <v/>
      </c>
      <c r="H10" s="4" t="s">
        <v>274</v>
      </c>
      <c r="I10" s="4" t="s">
        <v>275</v>
      </c>
      <c r="J10" t="str">
        <f t="shared" si="1"/>
        <v>CLIQUET ILHAME</v>
      </c>
    </row>
    <row r="11" spans="1:10" x14ac:dyDescent="0.25">
      <c r="A11" t="s">
        <v>199</v>
      </c>
      <c r="B11" s="1">
        <v>1</v>
      </c>
      <c r="C11">
        <f ca="1">IFERROR(__xludf.DUMMYFUNCTION("counta(iferror(filter('Réponses au formulaire 1'!C:C,'Réponses au formulaire 1'!C:C=A11)))"),1)</f>
        <v>1</v>
      </c>
      <c r="D11" t="str">
        <f t="shared" ca="1" si="0"/>
        <v/>
      </c>
      <c r="H11" s="3" t="s">
        <v>276</v>
      </c>
      <c r="I11" s="3" t="s">
        <v>277</v>
      </c>
      <c r="J11" t="str">
        <f t="shared" si="1"/>
        <v>COLLIOU ACHILLE</v>
      </c>
    </row>
    <row r="12" spans="1:10" x14ac:dyDescent="0.25">
      <c r="A12" t="s">
        <v>74</v>
      </c>
      <c r="B12" s="1">
        <v>1</v>
      </c>
      <c r="C12">
        <f ca="1">IFERROR(__xludf.DUMMYFUNCTION("counta(iferror(filter('Réponses au formulaire 1'!C:C,'Réponses au formulaire 1'!C:C=A12)))"),1)</f>
        <v>1</v>
      </c>
      <c r="D12" t="str">
        <f t="shared" ca="1" si="0"/>
        <v/>
      </c>
      <c r="H12" s="4" t="s">
        <v>278</v>
      </c>
      <c r="I12" s="4" t="s">
        <v>279</v>
      </c>
      <c r="J12" t="str">
        <f t="shared" si="1"/>
        <v>COPIN MAILYS</v>
      </c>
    </row>
    <row r="13" spans="1:10" x14ac:dyDescent="0.25">
      <c r="A13" t="s">
        <v>280</v>
      </c>
      <c r="B13" s="1">
        <v>1</v>
      </c>
      <c r="C13">
        <f ca="1">IFERROR(__xludf.DUMMYFUNCTION("counta(iferror(filter('Réponses au formulaire 1'!C:C,'Réponses au formulaire 1'!C:C=A13)))"),0)</f>
        <v>0</v>
      </c>
      <c r="D13" t="str">
        <f t="shared" ca="1" si="0"/>
        <v>DACLIN GRÉGOIRE</v>
      </c>
      <c r="H13" s="3" t="s">
        <v>281</v>
      </c>
      <c r="I13" s="3" t="s">
        <v>282</v>
      </c>
      <c r="J13" t="str">
        <f t="shared" si="1"/>
        <v>DACLIN GRÉGOIRE</v>
      </c>
    </row>
    <row r="14" spans="1:10" x14ac:dyDescent="0.25">
      <c r="A14" t="s">
        <v>283</v>
      </c>
      <c r="B14" s="1">
        <v>1</v>
      </c>
      <c r="C14">
        <f ca="1">IFERROR(__xludf.DUMMYFUNCTION("counta(iferror(filter('Réponses au formulaire 1'!C:C,'Réponses au formulaire 1'!C:C=A14)))"),0)</f>
        <v>0</v>
      </c>
      <c r="D14" t="str">
        <f t="shared" ca="1" si="0"/>
        <v>GRISEL JULIEN</v>
      </c>
      <c r="H14" s="3" t="s">
        <v>284</v>
      </c>
      <c r="I14" s="3" t="s">
        <v>273</v>
      </c>
      <c r="J14" t="str">
        <f t="shared" si="1"/>
        <v>GRISEL JULIEN</v>
      </c>
    </row>
    <row r="15" spans="1:10" x14ac:dyDescent="0.25">
      <c r="A15" t="s">
        <v>87</v>
      </c>
      <c r="B15" s="1">
        <v>1</v>
      </c>
      <c r="C15">
        <f ca="1">IFERROR(__xludf.DUMMYFUNCTION("counta(iferror(filter('Réponses au formulaire 1'!C:C,'Réponses au formulaire 1'!C:C=A15)))"),1)</f>
        <v>1</v>
      </c>
      <c r="D15" t="str">
        <f t="shared" ca="1" si="0"/>
        <v/>
      </c>
      <c r="H15" s="4" t="s">
        <v>285</v>
      </c>
      <c r="I15" s="4" t="s">
        <v>286</v>
      </c>
      <c r="J15" t="str">
        <f t="shared" si="1"/>
        <v>GUEMAS ARMEL</v>
      </c>
    </row>
    <row r="16" spans="1:10" x14ac:dyDescent="0.25">
      <c r="A16" t="s">
        <v>105</v>
      </c>
      <c r="B16" s="1">
        <v>1</v>
      </c>
      <c r="C16">
        <f ca="1">IFERROR(__xludf.DUMMYFUNCTION("counta(iferror(filter('Réponses au formulaire 1'!C:C,'Réponses au formulaire 1'!C:C=A16)))"),1)</f>
        <v>1</v>
      </c>
      <c r="D16" t="str">
        <f t="shared" ca="1" si="0"/>
        <v/>
      </c>
      <c r="H16" s="3" t="s">
        <v>287</v>
      </c>
      <c r="I16" s="3" t="s">
        <v>288</v>
      </c>
      <c r="J16" t="str">
        <f t="shared" si="1"/>
        <v>HELIAS ELENA</v>
      </c>
    </row>
    <row r="17" spans="1:10" x14ac:dyDescent="0.25">
      <c r="A17" t="s">
        <v>196</v>
      </c>
      <c r="B17" s="1">
        <v>1</v>
      </c>
      <c r="C17">
        <f ca="1">IFERROR(__xludf.DUMMYFUNCTION("counta(iferror(filter('Réponses au formulaire 1'!C:C,'Réponses au formulaire 1'!C:C=A17)))"),1)</f>
        <v>1</v>
      </c>
      <c r="D17" t="str">
        <f t="shared" ca="1" si="0"/>
        <v/>
      </c>
      <c r="H17" s="4" t="s">
        <v>289</v>
      </c>
      <c r="I17" s="4" t="s">
        <v>290</v>
      </c>
      <c r="J17" t="str">
        <f t="shared" si="1"/>
        <v>IRONMONGER MATHIS</v>
      </c>
    </row>
    <row r="18" spans="1:10" x14ac:dyDescent="0.25">
      <c r="A18" t="s">
        <v>291</v>
      </c>
      <c r="B18" s="1">
        <v>1</v>
      </c>
      <c r="C18">
        <f ca="1">IFERROR(__xludf.DUMMYFUNCTION("counta(iferror(filter('Réponses au formulaire 1'!C:C,'Réponses au formulaire 1'!C:C=A18)))"),0)</f>
        <v>0</v>
      </c>
      <c r="D18" t="str">
        <f t="shared" ca="1" si="0"/>
        <v>KOWALSKI VICTOIRE</v>
      </c>
      <c r="H18" s="3" t="s">
        <v>292</v>
      </c>
      <c r="I18" s="3" t="s">
        <v>293</v>
      </c>
      <c r="J18" t="str">
        <f t="shared" si="1"/>
        <v>KOWALSKI VICTOIRE</v>
      </c>
    </row>
    <row r="19" spans="1:10" x14ac:dyDescent="0.25">
      <c r="A19" t="s">
        <v>153</v>
      </c>
      <c r="B19" s="1">
        <v>1</v>
      </c>
      <c r="C19">
        <f ca="1">IFERROR(__xludf.DUMMYFUNCTION("counta(iferror(filter('Réponses au formulaire 1'!C:C,'Réponses au formulaire 1'!C:C=A19)))"),1)</f>
        <v>1</v>
      </c>
      <c r="D19" t="str">
        <f t="shared" ca="1" si="0"/>
        <v/>
      </c>
      <c r="H19" s="4" t="s">
        <v>294</v>
      </c>
      <c r="I19" s="4" t="s">
        <v>295</v>
      </c>
      <c r="J19" t="str">
        <f t="shared" si="1"/>
        <v>LE BIHAN FLAVIE</v>
      </c>
    </row>
    <row r="20" spans="1:10" x14ac:dyDescent="0.25">
      <c r="A20" t="s">
        <v>214</v>
      </c>
      <c r="B20" s="1">
        <v>1</v>
      </c>
      <c r="C20">
        <f ca="1">IFERROR(__xludf.DUMMYFUNCTION("counta(iferror(filter('Réponses au formulaire 1'!C:C,'Réponses au formulaire 1'!C:C=A20)))"),2)</f>
        <v>2</v>
      </c>
      <c r="D20" t="str">
        <f t="shared" ca="1" si="0"/>
        <v/>
      </c>
      <c r="H20" s="3" t="s">
        <v>296</v>
      </c>
      <c r="I20" s="3" t="s">
        <v>297</v>
      </c>
      <c r="J20" t="str">
        <f t="shared" si="1"/>
        <v>LE MENN THAÏS</v>
      </c>
    </row>
    <row r="21" spans="1:10" x14ac:dyDescent="0.25">
      <c r="A21" t="s">
        <v>198</v>
      </c>
      <c r="B21" s="1">
        <v>1</v>
      </c>
      <c r="C21">
        <f ca="1">IFERROR(__xludf.DUMMYFUNCTION("counta(iferror(filter('Réponses au formulaire 1'!C:C,'Réponses au formulaire 1'!C:C=A21)))"),1)</f>
        <v>1</v>
      </c>
      <c r="D21" t="str">
        <f t="shared" ca="1" si="0"/>
        <v/>
      </c>
      <c r="H21" s="4" t="s">
        <v>298</v>
      </c>
      <c r="I21" s="4" t="s">
        <v>299</v>
      </c>
      <c r="J21" t="str">
        <f t="shared" si="1"/>
        <v>MAGUET ELSA</v>
      </c>
    </row>
    <row r="22" spans="1:10" x14ac:dyDescent="0.25">
      <c r="A22" t="s">
        <v>65</v>
      </c>
      <c r="B22" s="1">
        <v>1</v>
      </c>
      <c r="C22">
        <f ca="1">IFERROR(__xludf.DUMMYFUNCTION("counta(iferror(filter('Réponses au formulaire 1'!C:C,'Réponses au formulaire 1'!C:C=A22)))"),2)</f>
        <v>2</v>
      </c>
      <c r="D22" t="str">
        <f t="shared" ca="1" si="0"/>
        <v/>
      </c>
      <c r="H22" s="3" t="s">
        <v>300</v>
      </c>
      <c r="I22" s="3" t="s">
        <v>301</v>
      </c>
      <c r="J22" t="str">
        <f t="shared" si="1"/>
        <v>MARTIN CLARA</v>
      </c>
    </row>
    <row r="23" spans="1:10" ht="15" x14ac:dyDescent="0.25">
      <c r="A23" t="s">
        <v>241</v>
      </c>
      <c r="B23" s="1">
        <v>1</v>
      </c>
      <c r="C23">
        <f ca="1">IFERROR(__xludf.DUMMYFUNCTION("counta(iferror(filter('Réponses au formulaire 1'!C:C,'Réponses au formulaire 1'!C:C=A23)))"),1)</f>
        <v>1</v>
      </c>
      <c r="D23" t="str">
        <f t="shared" ca="1" si="0"/>
        <v/>
      </c>
      <c r="H23" s="4" t="s">
        <v>302</v>
      </c>
      <c r="I23" s="4" t="s">
        <v>303</v>
      </c>
      <c r="J23" t="str">
        <f t="shared" si="1"/>
        <v>MARTINS MAÏA</v>
      </c>
    </row>
    <row r="24" spans="1:10" ht="15" x14ac:dyDescent="0.25">
      <c r="A24" t="s">
        <v>209</v>
      </c>
      <c r="B24" s="1">
        <v>1</v>
      </c>
      <c r="C24">
        <f ca="1">IFERROR(__xludf.DUMMYFUNCTION("counta(iferror(filter('Réponses au formulaire 1'!C:C,'Réponses au formulaire 1'!C:C=A24)))"),2)</f>
        <v>2</v>
      </c>
      <c r="D24" t="str">
        <f t="shared" ca="1" si="0"/>
        <v/>
      </c>
      <c r="H24" s="3" t="s">
        <v>304</v>
      </c>
      <c r="I24" s="3" t="s">
        <v>305</v>
      </c>
      <c r="J24" t="str">
        <f t="shared" si="1"/>
        <v>MARZIN CLET</v>
      </c>
    </row>
    <row r="25" spans="1:10" ht="15" x14ac:dyDescent="0.25">
      <c r="A25" t="s">
        <v>216</v>
      </c>
      <c r="B25" s="1">
        <v>1</v>
      </c>
      <c r="C25">
        <f ca="1">IFERROR(__xludf.DUMMYFUNCTION("counta(iferror(filter('Réponses au formulaire 1'!C:C,'Réponses au formulaire 1'!C:C=A25)))"),1)</f>
        <v>1</v>
      </c>
      <c r="D25" t="str">
        <f t="shared" ca="1" si="0"/>
        <v/>
      </c>
      <c r="H25" s="4" t="s">
        <v>306</v>
      </c>
      <c r="I25" s="4" t="s">
        <v>307</v>
      </c>
      <c r="J25" t="str">
        <f t="shared" si="1"/>
        <v>MELUSE ALEXANDRE</v>
      </c>
    </row>
    <row r="26" spans="1:10" ht="15" x14ac:dyDescent="0.25">
      <c r="A26" t="s">
        <v>127</v>
      </c>
      <c r="B26" s="1">
        <v>1</v>
      </c>
      <c r="C26">
        <f ca="1">IFERROR(__xludf.DUMMYFUNCTION("counta(iferror(filter('Réponses au formulaire 1'!C:C,'Réponses au formulaire 1'!C:C=A26)))"),1)</f>
        <v>1</v>
      </c>
      <c r="D26" t="str">
        <f t="shared" ca="1" si="0"/>
        <v/>
      </c>
      <c r="H26" s="3" t="s">
        <v>308</v>
      </c>
      <c r="I26" s="3" t="s">
        <v>309</v>
      </c>
      <c r="J26" t="str">
        <f t="shared" si="1"/>
        <v>MORVAN MAËLYS</v>
      </c>
    </row>
    <row r="27" spans="1:10" ht="15" x14ac:dyDescent="0.25">
      <c r="A27" t="s">
        <v>49</v>
      </c>
      <c r="B27" s="1">
        <v>1</v>
      </c>
      <c r="C27">
        <f ca="1">IFERROR(__xludf.DUMMYFUNCTION("counta(iferror(filter('Réponses au formulaire 1'!C:C,'Réponses au formulaire 1'!C:C=A27)))"),1)</f>
        <v>1</v>
      </c>
      <c r="D27" t="str">
        <f t="shared" ca="1" si="0"/>
        <v/>
      </c>
      <c r="H27" s="4" t="s">
        <v>310</v>
      </c>
      <c r="I27" s="4" t="s">
        <v>311</v>
      </c>
      <c r="J27" t="str">
        <f t="shared" si="1"/>
        <v>NGUYEN ARNAUD</v>
      </c>
    </row>
    <row r="28" spans="1:10" ht="15" x14ac:dyDescent="0.25">
      <c r="A28" t="s">
        <v>200</v>
      </c>
      <c r="B28" s="1">
        <v>1</v>
      </c>
      <c r="C28">
        <f ca="1">IFERROR(__xludf.DUMMYFUNCTION("counta(iferror(filter('Réponses au formulaire 1'!C:C,'Réponses au formulaire 1'!C:C=A28)))"),1)</f>
        <v>1</v>
      </c>
      <c r="D28" t="str">
        <f t="shared" ca="1" si="0"/>
        <v/>
      </c>
      <c r="H28" s="3" t="s">
        <v>312</v>
      </c>
      <c r="I28" s="3" t="s">
        <v>313</v>
      </c>
      <c r="J28" t="str">
        <f t="shared" si="1"/>
        <v>QUERNÉ ILONA</v>
      </c>
    </row>
    <row r="29" spans="1:10" ht="15" x14ac:dyDescent="0.25">
      <c r="A29" t="s">
        <v>189</v>
      </c>
      <c r="B29" s="1">
        <v>1</v>
      </c>
      <c r="C29">
        <f ca="1">IFERROR(__xludf.DUMMYFUNCTION("counta(iferror(filter('Réponses au formulaire 1'!C:C,'Réponses au formulaire 1'!C:C=A29)))"),1)</f>
        <v>1</v>
      </c>
      <c r="D29" t="str">
        <f t="shared" ca="1" si="0"/>
        <v/>
      </c>
      <c r="H29" s="4" t="s">
        <v>314</v>
      </c>
      <c r="I29" s="4" t="s">
        <v>315</v>
      </c>
      <c r="J29" t="str">
        <f t="shared" si="1"/>
        <v>RAGUENES ADÈLE</v>
      </c>
    </row>
    <row r="30" spans="1:10" ht="15" x14ac:dyDescent="0.25">
      <c r="A30" t="s">
        <v>171</v>
      </c>
      <c r="B30" s="1">
        <v>1</v>
      </c>
      <c r="C30">
        <f ca="1">IFERROR(__xludf.DUMMYFUNCTION("counta(iferror(filter('Réponses au formulaire 1'!C:C,'Réponses au formulaire 1'!C:C=A30)))"),1)</f>
        <v>1</v>
      </c>
      <c r="D30" t="str">
        <f t="shared" ca="1" si="0"/>
        <v/>
      </c>
      <c r="H30" s="3" t="s">
        <v>316</v>
      </c>
      <c r="I30" s="3" t="s">
        <v>317</v>
      </c>
      <c r="J30" t="str">
        <f t="shared" si="1"/>
        <v>ROPARS JANELLE</v>
      </c>
    </row>
    <row r="31" spans="1:10" ht="15" x14ac:dyDescent="0.25">
      <c r="A31" t="s">
        <v>5</v>
      </c>
      <c r="B31" s="1">
        <v>1</v>
      </c>
      <c r="C31">
        <f ca="1">IFERROR(__xludf.DUMMYFUNCTION("counta(iferror(filter('Réponses au formulaire 1'!C:C,'Réponses au formulaire 1'!C:C=A31)))"),1)</f>
        <v>1</v>
      </c>
      <c r="D31" t="str">
        <f t="shared" ca="1" si="0"/>
        <v/>
      </c>
      <c r="H31" s="4" t="s">
        <v>318</v>
      </c>
      <c r="I31" s="4" t="s">
        <v>319</v>
      </c>
      <c r="J31" t="str">
        <f t="shared" si="1"/>
        <v>SIMONIN FAUSTINE</v>
      </c>
    </row>
    <row r="32" spans="1:10" ht="15" x14ac:dyDescent="0.25">
      <c r="A32" s="1" t="s">
        <v>14</v>
      </c>
      <c r="B32" s="1">
        <v>1</v>
      </c>
      <c r="C32">
        <f ca="1">IFERROR(__xludf.DUMMYFUNCTION("counta(iferror(filter('Réponses au formulaire 1'!C:C,'Réponses au formulaire 1'!C:C=A32)))"),1)</f>
        <v>1</v>
      </c>
      <c r="D32" t="str">
        <f t="shared" ca="1" si="0"/>
        <v/>
      </c>
      <c r="H32" s="3" t="s">
        <v>320</v>
      </c>
      <c r="I32" s="3" t="s">
        <v>321</v>
      </c>
      <c r="J32" t="str">
        <f t="shared" si="1"/>
        <v>SOUBIGOU-BÉRÉ MAÏWENN, NAYOLSE, ORNÉLIA</v>
      </c>
    </row>
    <row r="33" spans="1:10" ht="15" x14ac:dyDescent="0.25">
      <c r="A33" t="s">
        <v>190</v>
      </c>
      <c r="B33" s="1">
        <v>1</v>
      </c>
      <c r="C33">
        <f ca="1">IFERROR(__xludf.DUMMYFUNCTION("counta(iferror(filter('Réponses au formulaire 1'!C:C,'Réponses au formulaire 1'!C:C=A33)))"),1)</f>
        <v>1</v>
      </c>
      <c r="D33" t="str">
        <f t="shared" ca="1" si="0"/>
        <v/>
      </c>
      <c r="H33" s="4" t="s">
        <v>322</v>
      </c>
      <c r="I33" s="4" t="s">
        <v>323</v>
      </c>
      <c r="J33" t="str">
        <f t="shared" si="1"/>
        <v>STEENBERGEN TESSA</v>
      </c>
    </row>
    <row r="34" spans="1:10" ht="15" x14ac:dyDescent="0.25">
      <c r="A34" t="s">
        <v>46</v>
      </c>
      <c r="B34" s="1">
        <v>1</v>
      </c>
      <c r="C34">
        <f ca="1">IFERROR(__xludf.DUMMYFUNCTION("counta(iferror(filter('Réponses au formulaire 1'!C:C,'Réponses au formulaire 1'!C:C=A34)))"),1)</f>
        <v>1</v>
      </c>
      <c r="D34" t="str">
        <f t="shared" ca="1" si="0"/>
        <v/>
      </c>
      <c r="H34" s="3" t="s">
        <v>324</v>
      </c>
      <c r="I34" s="3" t="s">
        <v>325</v>
      </c>
      <c r="J34" t="str">
        <f t="shared" si="1"/>
        <v>TAILLANT ARTHUR</v>
      </c>
    </row>
    <row r="35" spans="1:10" ht="15" x14ac:dyDescent="0.25">
      <c r="A35" t="s">
        <v>45</v>
      </c>
      <c r="B35" s="1">
        <v>1</v>
      </c>
      <c r="C35">
        <f ca="1">IFERROR(__xludf.DUMMYFUNCTION("counta(iferror(filter('Réponses au formulaire 1'!C:C,'Réponses au formulaire 1'!C:C=A35)))"),1)</f>
        <v>1</v>
      </c>
      <c r="D35" t="str">
        <f t="shared" ca="1" si="0"/>
        <v/>
      </c>
      <c r="H35" s="4" t="s">
        <v>326</v>
      </c>
      <c r="I35" s="4" t="s">
        <v>327</v>
      </c>
      <c r="J35" t="str">
        <f t="shared" si="1"/>
        <v>TROMEUR JUSTINE</v>
      </c>
    </row>
    <row r="36" spans="1:10" ht="15" x14ac:dyDescent="0.25">
      <c r="A36" t="s">
        <v>96</v>
      </c>
      <c r="B36" s="1">
        <v>1</v>
      </c>
      <c r="C36">
        <f ca="1">IFERROR(__xludf.DUMMYFUNCTION("counta(iferror(filter('Réponses au formulaire 1'!C:C,'Réponses au formulaire 1'!C:C=A36)))"),1)</f>
        <v>1</v>
      </c>
      <c r="D36" t="str">
        <f t="shared" ca="1" si="0"/>
        <v/>
      </c>
      <c r="H36" s="3" t="s">
        <v>328</v>
      </c>
      <c r="I36" s="3" t="s">
        <v>329</v>
      </c>
      <c r="J36" t="str">
        <f t="shared" si="1"/>
        <v>VIGILE LUCAS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5"/>
  <sheetViews>
    <sheetView workbookViewId="0"/>
  </sheetViews>
  <sheetFormatPr baseColWidth="10" defaultColWidth="14.42578125" defaultRowHeight="15.75" customHeight="1" x14ac:dyDescent="0.2"/>
  <cols>
    <col min="1" max="1" width="30.5703125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224</v>
      </c>
      <c r="B2" s="1">
        <v>1</v>
      </c>
      <c r="C2">
        <f ca="1">IFERROR(__xludf.DUMMYFUNCTION("COUNTA(IFERROR(filter('Réponses au formulaire 1'!D:D,'Réponses au formulaire 1'!D:D=A2)))"),2)</f>
        <v>2</v>
      </c>
      <c r="D2" t="str">
        <f t="shared" ref="D2:D35" ca="1" si="0">IF(B2&gt;C2,A2,"")</f>
        <v/>
      </c>
      <c r="E2" t="str">
        <f ca="1">IFERROR(__xludf.DUMMYFUNCTION("filter(D2:D35,D2:D35&lt;&gt;"""")"),"GUILCHER ETIENNE")</f>
        <v>GUILCHER ETIENNE</v>
      </c>
      <c r="H2" s="3" t="s">
        <v>330</v>
      </c>
      <c r="I2" s="3" t="s">
        <v>331</v>
      </c>
      <c r="J2" t="str">
        <f t="shared" ref="J2:J35" si="1">UPPER(H2&amp;" "&amp;I2)</f>
        <v>ANDRÉ ROMAIN</v>
      </c>
    </row>
    <row r="3" spans="1:10" x14ac:dyDescent="0.25">
      <c r="A3" t="s">
        <v>108</v>
      </c>
      <c r="B3" s="1">
        <v>1</v>
      </c>
      <c r="C3">
        <f ca="1">IFERROR(__xludf.DUMMYFUNCTION("COUNTA(IFERROR(filter('Réponses au formulaire 1'!D:D,'Réponses au formulaire 1'!D:D=A3)))"),1)</f>
        <v>1</v>
      </c>
      <c r="D3" t="str">
        <f t="shared" ca="1" si="0"/>
        <v/>
      </c>
      <c r="H3" s="4" t="s">
        <v>332</v>
      </c>
      <c r="I3" s="4" t="s">
        <v>333</v>
      </c>
      <c r="J3" t="str">
        <f t="shared" si="1"/>
        <v>APPRIOU PIERRE</v>
      </c>
    </row>
    <row r="4" spans="1:10" x14ac:dyDescent="0.25">
      <c r="A4" t="s">
        <v>192</v>
      </c>
      <c r="B4" s="1">
        <v>1</v>
      </c>
      <c r="C4">
        <f ca="1">IFERROR(__xludf.DUMMYFUNCTION("COUNTA(IFERROR(filter('Réponses au formulaire 1'!D:D,'Réponses au formulaire 1'!D:D=A4)))"),1)</f>
        <v>1</v>
      </c>
      <c r="D4" t="str">
        <f t="shared" ca="1" si="0"/>
        <v/>
      </c>
      <c r="H4" s="3" t="s">
        <v>334</v>
      </c>
      <c r="I4" s="3" t="s">
        <v>335</v>
      </c>
      <c r="J4" t="str">
        <f t="shared" si="1"/>
        <v>BANZOUZI KOUB</v>
      </c>
    </row>
    <row r="5" spans="1:10" x14ac:dyDescent="0.25">
      <c r="A5" t="s">
        <v>79</v>
      </c>
      <c r="B5" s="1">
        <v>1</v>
      </c>
      <c r="C5">
        <f ca="1">IFERROR(__xludf.DUMMYFUNCTION("COUNTA(IFERROR(filter('Réponses au formulaire 1'!D:D,'Réponses au formulaire 1'!D:D=A5)))"),1)</f>
        <v>1</v>
      </c>
      <c r="D5" t="str">
        <f t="shared" ca="1" si="0"/>
        <v/>
      </c>
      <c r="H5" s="4" t="s">
        <v>336</v>
      </c>
      <c r="I5" s="4" t="s">
        <v>264</v>
      </c>
      <c r="J5" t="str">
        <f t="shared" si="1"/>
        <v>BARILLER MARGAUX</v>
      </c>
    </row>
    <row r="6" spans="1:10" x14ac:dyDescent="0.25">
      <c r="A6" t="s">
        <v>152</v>
      </c>
      <c r="B6" s="1">
        <v>1</v>
      </c>
      <c r="C6">
        <f ca="1">IFERROR(__xludf.DUMMYFUNCTION("COUNTA(IFERROR(filter('Réponses au formulaire 1'!D:D,'Réponses au formulaire 1'!D:D=A6)))"),1)</f>
        <v>1</v>
      </c>
      <c r="D6" t="str">
        <f t="shared" ca="1" si="0"/>
        <v/>
      </c>
      <c r="H6" s="3" t="s">
        <v>337</v>
      </c>
      <c r="I6" s="3" t="s">
        <v>338</v>
      </c>
      <c r="J6" t="str">
        <f t="shared" si="1"/>
        <v>BAUMANN JONATHAN</v>
      </c>
    </row>
    <row r="7" spans="1:10" x14ac:dyDescent="0.25">
      <c r="A7" t="s">
        <v>58</v>
      </c>
      <c r="B7" s="1">
        <v>1</v>
      </c>
      <c r="C7">
        <f ca="1">IFERROR(__xludf.DUMMYFUNCTION("COUNTA(IFERROR(filter('Réponses au formulaire 1'!D:D,'Réponses au formulaire 1'!D:D=A7)))"),1)</f>
        <v>1</v>
      </c>
      <c r="D7" t="str">
        <f t="shared" ca="1" si="0"/>
        <v/>
      </c>
      <c r="H7" s="3" t="s">
        <v>339</v>
      </c>
      <c r="I7" s="3" t="s">
        <v>340</v>
      </c>
      <c r="J7" t="str">
        <f t="shared" si="1"/>
        <v>BERGOT BAPTISTE</v>
      </c>
    </row>
    <row r="8" spans="1:10" x14ac:dyDescent="0.25">
      <c r="A8" t="s">
        <v>100</v>
      </c>
      <c r="B8" s="1">
        <v>1</v>
      </c>
      <c r="C8">
        <f ca="1">IFERROR(__xludf.DUMMYFUNCTION("COUNTA(IFERROR(filter('Réponses au formulaire 1'!D:D,'Réponses au formulaire 1'!D:D=A8)))"),1)</f>
        <v>1</v>
      </c>
      <c r="D8" t="str">
        <f t="shared" ca="1" si="0"/>
        <v/>
      </c>
      <c r="H8" s="4" t="s">
        <v>341</v>
      </c>
      <c r="I8" s="4" t="s">
        <v>342</v>
      </c>
      <c r="J8" t="str">
        <f t="shared" si="1"/>
        <v>BODENES AÉSA</v>
      </c>
    </row>
    <row r="9" spans="1:10" x14ac:dyDescent="0.25">
      <c r="A9" t="s">
        <v>60</v>
      </c>
      <c r="B9" s="1">
        <v>1</v>
      </c>
      <c r="C9">
        <f ca="1">IFERROR(__xludf.DUMMYFUNCTION("COUNTA(IFERROR(filter('Réponses au formulaire 1'!D:D,'Réponses au formulaire 1'!D:D=A9)))"),1)</f>
        <v>1</v>
      </c>
      <c r="D9" t="str">
        <f t="shared" ca="1" si="0"/>
        <v/>
      </c>
      <c r="H9" s="3" t="s">
        <v>343</v>
      </c>
      <c r="I9" s="3" t="s">
        <v>344</v>
      </c>
      <c r="J9" t="str">
        <f t="shared" si="1"/>
        <v>BONNIVEN EWEN</v>
      </c>
    </row>
    <row r="10" spans="1:10" x14ac:dyDescent="0.25">
      <c r="A10" t="s">
        <v>123</v>
      </c>
      <c r="B10" s="1">
        <v>1</v>
      </c>
      <c r="C10">
        <f ca="1">IFERROR(__xludf.DUMMYFUNCTION("COUNTA(IFERROR(filter('Réponses au formulaire 1'!D:D,'Réponses au formulaire 1'!D:D=A10)))"),1)</f>
        <v>1</v>
      </c>
      <c r="D10" t="str">
        <f t="shared" ca="1" si="0"/>
        <v/>
      </c>
      <c r="H10" s="4" t="s">
        <v>345</v>
      </c>
      <c r="I10" s="4" t="s">
        <v>346</v>
      </c>
      <c r="J10" t="str">
        <f t="shared" si="1"/>
        <v>BOURHIS NOREEN</v>
      </c>
    </row>
    <row r="11" spans="1:10" x14ac:dyDescent="0.25">
      <c r="A11" t="s">
        <v>90</v>
      </c>
      <c r="B11" s="1">
        <v>1</v>
      </c>
      <c r="C11">
        <f ca="1">IFERROR(__xludf.DUMMYFUNCTION("COUNTA(IFERROR(filter('Réponses au formulaire 1'!D:D,'Réponses au formulaire 1'!D:D=A11)))"),1)</f>
        <v>1</v>
      </c>
      <c r="D11" t="str">
        <f t="shared" ca="1" si="0"/>
        <v/>
      </c>
      <c r="H11" s="3" t="s">
        <v>347</v>
      </c>
      <c r="I11" s="3" t="s">
        <v>348</v>
      </c>
      <c r="J11" t="str">
        <f t="shared" si="1"/>
        <v>BRINTET VIOLETTE</v>
      </c>
    </row>
    <row r="12" spans="1:10" x14ac:dyDescent="0.25">
      <c r="A12" t="s">
        <v>187</v>
      </c>
      <c r="B12" s="1">
        <v>1</v>
      </c>
      <c r="C12">
        <f ca="1">IFERROR(__xludf.DUMMYFUNCTION("COUNTA(IFERROR(filter('Réponses au formulaire 1'!D:D,'Réponses au formulaire 1'!D:D=A12)))"),1)</f>
        <v>1</v>
      </c>
      <c r="D12" t="str">
        <f t="shared" ca="1" si="0"/>
        <v/>
      </c>
      <c r="H12" s="4" t="s">
        <v>349</v>
      </c>
      <c r="I12" s="4" t="s">
        <v>350</v>
      </c>
      <c r="J12" t="str">
        <f t="shared" si="1"/>
        <v>COLIN ALESIA</v>
      </c>
    </row>
    <row r="13" spans="1:10" x14ac:dyDescent="0.25">
      <c r="A13" t="s">
        <v>36</v>
      </c>
      <c r="B13" s="1">
        <v>1</v>
      </c>
      <c r="C13">
        <f ca="1">IFERROR(__xludf.DUMMYFUNCTION("COUNTA(IFERROR(filter('Réponses au formulaire 1'!D:D,'Réponses au formulaire 1'!D:D=A13)))"),1)</f>
        <v>1</v>
      </c>
      <c r="D13" t="str">
        <f t="shared" ca="1" si="0"/>
        <v/>
      </c>
      <c r="H13" s="3" t="s">
        <v>351</v>
      </c>
      <c r="I13" s="3" t="s">
        <v>352</v>
      </c>
      <c r="J13" t="str">
        <f t="shared" si="1"/>
        <v>DAMOUR LUDIVINE</v>
      </c>
    </row>
    <row r="14" spans="1:10" x14ac:dyDescent="0.25">
      <c r="A14" t="s">
        <v>103</v>
      </c>
      <c r="B14" s="1">
        <v>1</v>
      </c>
      <c r="C14">
        <f ca="1">IFERROR(__xludf.DUMMYFUNCTION("COUNTA(IFERROR(filter('Réponses au formulaire 1'!D:D,'Réponses au formulaire 1'!D:D=A14)))"),1)</f>
        <v>1</v>
      </c>
      <c r="D14" t="str">
        <f t="shared" ca="1" si="0"/>
        <v/>
      </c>
      <c r="H14" s="4" t="s">
        <v>353</v>
      </c>
      <c r="I14" s="4" t="s">
        <v>354</v>
      </c>
      <c r="J14" t="str">
        <f t="shared" si="1"/>
        <v>DANIEL MATHILDE</v>
      </c>
    </row>
    <row r="15" spans="1:10" x14ac:dyDescent="0.25">
      <c r="A15" t="s">
        <v>80</v>
      </c>
      <c r="B15" s="1">
        <v>1</v>
      </c>
      <c r="C15">
        <f ca="1">IFERROR(__xludf.DUMMYFUNCTION("COUNTA(IFERROR(filter('Réponses au formulaire 1'!D:D,'Réponses au formulaire 1'!D:D=A15)))"),1)</f>
        <v>1</v>
      </c>
      <c r="D15" t="str">
        <f t="shared" ca="1" si="0"/>
        <v/>
      </c>
      <c r="H15" s="3" t="s">
        <v>355</v>
      </c>
      <c r="I15" s="3" t="s">
        <v>356</v>
      </c>
      <c r="J15" t="str">
        <f t="shared" si="1"/>
        <v>DELARUE MATHYS</v>
      </c>
    </row>
    <row r="16" spans="1:10" x14ac:dyDescent="0.25">
      <c r="A16" t="s">
        <v>47</v>
      </c>
      <c r="B16" s="1">
        <v>1</v>
      </c>
      <c r="C16">
        <f ca="1">IFERROR(__xludf.DUMMYFUNCTION("COUNTA(IFERROR(filter('Réponses au formulaire 1'!D:D,'Réponses au formulaire 1'!D:D=A16)))"),1)</f>
        <v>1</v>
      </c>
      <c r="D16" t="str">
        <f t="shared" ca="1" si="0"/>
        <v/>
      </c>
      <c r="H16" s="4" t="s">
        <v>357</v>
      </c>
      <c r="I16" s="4" t="s">
        <v>358</v>
      </c>
      <c r="J16" t="str">
        <f t="shared" si="1"/>
        <v>DEMILIER CHARLOTTE</v>
      </c>
    </row>
    <row r="17" spans="1:10" x14ac:dyDescent="0.25">
      <c r="A17" t="s">
        <v>175</v>
      </c>
      <c r="B17" s="1">
        <v>1</v>
      </c>
      <c r="C17">
        <f ca="1">IFERROR(__xludf.DUMMYFUNCTION("COUNTA(IFERROR(filter('Réponses au formulaire 1'!D:D,'Réponses au formulaire 1'!D:D=A17)))"),1)</f>
        <v>1</v>
      </c>
      <c r="D17" t="str">
        <f t="shared" ca="1" si="0"/>
        <v/>
      </c>
      <c r="H17" s="3" t="s">
        <v>359</v>
      </c>
      <c r="I17" s="3" t="s">
        <v>360</v>
      </c>
      <c r="J17" t="str">
        <f t="shared" si="1"/>
        <v>GAREL MARTIN</v>
      </c>
    </row>
    <row r="18" spans="1:10" x14ac:dyDescent="0.25">
      <c r="A18" t="s">
        <v>174</v>
      </c>
      <c r="B18" s="1">
        <v>1</v>
      </c>
      <c r="C18">
        <f ca="1">IFERROR(__xludf.DUMMYFUNCTION("COUNTA(IFERROR(filter('Réponses au formulaire 1'!D:D,'Réponses au formulaire 1'!D:D=A18)))"),1)</f>
        <v>1</v>
      </c>
      <c r="D18" t="str">
        <f t="shared" ca="1" si="0"/>
        <v/>
      </c>
      <c r="H18" s="4" t="s">
        <v>361</v>
      </c>
      <c r="I18" s="4" t="s">
        <v>362</v>
      </c>
      <c r="J18" t="str">
        <f t="shared" si="1"/>
        <v>GOURMELON LILOUE</v>
      </c>
    </row>
    <row r="19" spans="1:10" x14ac:dyDescent="0.25">
      <c r="A19" t="s">
        <v>363</v>
      </c>
      <c r="B19" s="1">
        <v>1</v>
      </c>
      <c r="C19">
        <f ca="1">IFERROR(__xludf.DUMMYFUNCTION("COUNTA(IFERROR(filter('Réponses au formulaire 1'!D:D,'Réponses au formulaire 1'!D:D=A19)))"),0)</f>
        <v>0</v>
      </c>
      <c r="D19" t="str">
        <f t="shared" ca="1" si="0"/>
        <v>GUILCHER ETIENNE</v>
      </c>
      <c r="H19" s="4" t="s">
        <v>364</v>
      </c>
      <c r="I19" s="4" t="s">
        <v>365</v>
      </c>
      <c r="J19" t="str">
        <f t="shared" si="1"/>
        <v>ROUMP PÉNÉLOPE</v>
      </c>
    </row>
    <row r="20" spans="1:10" x14ac:dyDescent="0.25">
      <c r="A20" t="s">
        <v>150</v>
      </c>
      <c r="B20" s="1">
        <v>1</v>
      </c>
      <c r="C20">
        <f ca="1">IFERROR(__xludf.DUMMYFUNCTION("COUNTA(IFERROR(filter('Réponses au formulaire 1'!D:D,'Réponses au formulaire 1'!D:D=A20)))"),1)</f>
        <v>1</v>
      </c>
      <c r="D20" t="str">
        <f t="shared" ca="1" si="0"/>
        <v/>
      </c>
      <c r="H20" s="4" t="s">
        <v>366</v>
      </c>
      <c r="I20" s="4" t="s">
        <v>367</v>
      </c>
      <c r="J20" t="str">
        <f t="shared" si="1"/>
        <v>GUILCHER ETIENNE</v>
      </c>
    </row>
    <row r="21" spans="1:10" x14ac:dyDescent="0.25">
      <c r="A21" t="s">
        <v>82</v>
      </c>
      <c r="B21" s="1">
        <v>1</v>
      </c>
      <c r="C21">
        <f ca="1">IFERROR(__xludf.DUMMYFUNCTION("COUNTA(IFERROR(filter('Réponses au formulaire 1'!D:D,'Réponses au formulaire 1'!D:D=A21)))"),1)</f>
        <v>1</v>
      </c>
      <c r="D21" t="str">
        <f t="shared" ca="1" si="0"/>
        <v/>
      </c>
      <c r="H21" s="3" t="s">
        <v>368</v>
      </c>
      <c r="I21" s="3" t="s">
        <v>369</v>
      </c>
      <c r="J21" t="str">
        <f t="shared" si="1"/>
        <v>HACHE MARIN</v>
      </c>
    </row>
    <row r="22" spans="1:10" x14ac:dyDescent="0.25">
      <c r="A22" t="s">
        <v>148</v>
      </c>
      <c r="B22" s="1">
        <v>1</v>
      </c>
      <c r="C22">
        <f ca="1">IFERROR(__xludf.DUMMYFUNCTION("COUNTA(IFERROR(filter('Réponses au formulaire 1'!D:D,'Réponses au formulaire 1'!D:D=A22)))"),1)</f>
        <v>1</v>
      </c>
      <c r="D22" t="str">
        <f t="shared" ca="1" si="0"/>
        <v/>
      </c>
      <c r="H22" s="4" t="s">
        <v>370</v>
      </c>
      <c r="I22" s="4" t="s">
        <v>371</v>
      </c>
      <c r="J22" t="str">
        <f t="shared" si="1"/>
        <v>HICHER PAULINE</v>
      </c>
    </row>
    <row r="23" spans="1:10" ht="15" x14ac:dyDescent="0.25">
      <c r="A23" t="s">
        <v>160</v>
      </c>
      <c r="B23" s="1">
        <v>1</v>
      </c>
      <c r="C23">
        <f ca="1">IFERROR(__xludf.DUMMYFUNCTION("COUNTA(IFERROR(filter('Réponses au formulaire 1'!D:D,'Réponses au formulaire 1'!D:D=A23)))"),1)</f>
        <v>1</v>
      </c>
      <c r="D23" t="str">
        <f t="shared" ca="1" si="0"/>
        <v/>
      </c>
      <c r="H23" s="3" t="s">
        <v>372</v>
      </c>
      <c r="I23" s="3" t="s">
        <v>373</v>
      </c>
      <c r="J23" t="str">
        <f t="shared" si="1"/>
        <v>LANGLOIS JULIANNE</v>
      </c>
    </row>
    <row r="24" spans="1:10" ht="15" x14ac:dyDescent="0.25">
      <c r="A24" t="s">
        <v>94</v>
      </c>
      <c r="B24" s="1">
        <v>1</v>
      </c>
      <c r="C24">
        <f ca="1">IFERROR(__xludf.DUMMYFUNCTION("COUNTA(IFERROR(filter('Réponses au formulaire 1'!D:D,'Réponses au formulaire 1'!D:D=A24)))"),1)</f>
        <v>1</v>
      </c>
      <c r="D24" t="str">
        <f t="shared" ca="1" si="0"/>
        <v/>
      </c>
      <c r="H24" s="4" t="s">
        <v>374</v>
      </c>
      <c r="I24" s="4" t="s">
        <v>375</v>
      </c>
      <c r="J24" t="str">
        <f t="shared" si="1"/>
        <v>LE BARS MATHIS</v>
      </c>
    </row>
    <row r="25" spans="1:10" ht="15" x14ac:dyDescent="0.25">
      <c r="A25" t="s">
        <v>93</v>
      </c>
      <c r="B25" s="1">
        <v>1</v>
      </c>
      <c r="C25">
        <f ca="1">IFERROR(__xludf.DUMMYFUNCTION("COUNTA(IFERROR(filter('Réponses au formulaire 1'!D:D,'Réponses au formulaire 1'!D:D=A25)))"),1)</f>
        <v>1</v>
      </c>
      <c r="D25" t="str">
        <f t="shared" ca="1" si="0"/>
        <v/>
      </c>
      <c r="H25" s="3" t="s">
        <v>376</v>
      </c>
      <c r="I25" s="3" t="s">
        <v>377</v>
      </c>
      <c r="J25" t="str">
        <f t="shared" si="1"/>
        <v>LE ROUX ELOANE</v>
      </c>
    </row>
    <row r="26" spans="1:10" ht="15" x14ac:dyDescent="0.25">
      <c r="A26" t="s">
        <v>85</v>
      </c>
      <c r="B26" s="1">
        <v>1</v>
      </c>
      <c r="C26">
        <f ca="1">IFERROR(__xludf.DUMMYFUNCTION("COUNTA(IFERROR(filter('Réponses au formulaire 1'!D:D,'Réponses au formulaire 1'!D:D=A26)))"),1)</f>
        <v>1</v>
      </c>
      <c r="D26" t="str">
        <f t="shared" ca="1" si="0"/>
        <v/>
      </c>
      <c r="H26" s="4" t="s">
        <v>378</v>
      </c>
      <c r="I26" s="4" t="s">
        <v>379</v>
      </c>
      <c r="J26" t="str">
        <f t="shared" si="1"/>
        <v>LEVASSORT LOUISE</v>
      </c>
    </row>
    <row r="27" spans="1:10" ht="15" x14ac:dyDescent="0.25">
      <c r="A27" t="s">
        <v>92</v>
      </c>
      <c r="B27" s="1">
        <v>1</v>
      </c>
      <c r="C27">
        <f ca="1">IFERROR(__xludf.DUMMYFUNCTION("COUNTA(IFERROR(filter('Réponses au formulaire 1'!D:D,'Réponses au formulaire 1'!D:D=A27)))"),1)</f>
        <v>1</v>
      </c>
      <c r="D27" t="str">
        <f t="shared" ca="1" si="0"/>
        <v/>
      </c>
      <c r="H27" s="3" t="s">
        <v>380</v>
      </c>
      <c r="I27" s="3" t="s">
        <v>381</v>
      </c>
      <c r="J27" t="str">
        <f t="shared" si="1"/>
        <v>PARISOT VINCENT</v>
      </c>
    </row>
    <row r="28" spans="1:10" ht="15" x14ac:dyDescent="0.25">
      <c r="A28" t="s">
        <v>155</v>
      </c>
      <c r="B28" s="1">
        <v>1</v>
      </c>
      <c r="C28">
        <f ca="1">IFERROR(__xludf.DUMMYFUNCTION("COUNTA(IFERROR(filter('Réponses au formulaire 1'!D:D,'Réponses au formulaire 1'!D:D=A28)))"),1)</f>
        <v>1</v>
      </c>
      <c r="D28" t="str">
        <f t="shared" ca="1" si="0"/>
        <v/>
      </c>
      <c r="H28" s="4" t="s">
        <v>382</v>
      </c>
      <c r="I28" s="4" t="s">
        <v>383</v>
      </c>
      <c r="J28" t="str">
        <f t="shared" si="1"/>
        <v>PERON LENA</v>
      </c>
    </row>
    <row r="29" spans="1:10" ht="15" x14ac:dyDescent="0.25">
      <c r="A29" t="s">
        <v>81</v>
      </c>
      <c r="B29" s="1">
        <v>1</v>
      </c>
      <c r="C29">
        <f ca="1">IFERROR(__xludf.DUMMYFUNCTION("COUNTA(IFERROR(filter('Réponses au formulaire 1'!D:D,'Réponses au formulaire 1'!D:D=A29)))"),1)</f>
        <v>1</v>
      </c>
      <c r="D29" t="str">
        <f t="shared" ca="1" si="0"/>
        <v/>
      </c>
      <c r="H29" s="3" t="s">
        <v>384</v>
      </c>
      <c r="I29" s="3" t="s">
        <v>385</v>
      </c>
      <c r="J29" t="str">
        <f t="shared" si="1"/>
        <v>PROVOST ARTHUR</v>
      </c>
    </row>
    <row r="30" spans="1:10" ht="15" x14ac:dyDescent="0.25">
      <c r="A30" t="s">
        <v>120</v>
      </c>
      <c r="B30" s="1">
        <v>1</v>
      </c>
      <c r="C30">
        <f ca="1">IFERROR(__xludf.DUMMYFUNCTION("COUNTA(IFERROR(filter('Réponses au formulaire 1'!D:D,'Réponses au formulaire 1'!D:D=A30)))"),1)</f>
        <v>1</v>
      </c>
      <c r="D30" t="str">
        <f t="shared" ca="1" si="0"/>
        <v/>
      </c>
      <c r="H30" s="4" t="s">
        <v>386</v>
      </c>
      <c r="I30" s="4" t="s">
        <v>387</v>
      </c>
      <c r="J30" t="str">
        <f t="shared" si="1"/>
        <v>SAINT LANNE BETH RAPHAËL</v>
      </c>
    </row>
    <row r="31" spans="1:10" ht="15" x14ac:dyDescent="0.25">
      <c r="A31" t="s">
        <v>136</v>
      </c>
      <c r="B31" s="1">
        <v>1</v>
      </c>
      <c r="C31">
        <f ca="1">IFERROR(__xludf.DUMMYFUNCTION("COUNTA(IFERROR(filter('Réponses au formulaire 1'!D:D,'Réponses au formulaire 1'!D:D=A31)))"),1)</f>
        <v>1</v>
      </c>
      <c r="D31" t="str">
        <f t="shared" ca="1" si="0"/>
        <v/>
      </c>
      <c r="H31" s="3" t="s">
        <v>388</v>
      </c>
      <c r="I31" s="3" t="s">
        <v>389</v>
      </c>
      <c r="J31" t="str">
        <f t="shared" si="1"/>
        <v>SALIOU ANGÉLIQUE</v>
      </c>
    </row>
    <row r="32" spans="1:10" ht="15" x14ac:dyDescent="0.25">
      <c r="A32" t="s">
        <v>157</v>
      </c>
      <c r="B32" s="1">
        <v>1</v>
      </c>
      <c r="C32">
        <f ca="1">IFERROR(__xludf.DUMMYFUNCTION("COUNTA(IFERROR(filter('Réponses au formulaire 1'!D:D,'Réponses au formulaire 1'!D:D=A32)))"),2)</f>
        <v>2</v>
      </c>
      <c r="D32" t="str">
        <f t="shared" ca="1" si="0"/>
        <v/>
      </c>
      <c r="H32" s="4" t="s">
        <v>390</v>
      </c>
      <c r="I32" s="4" t="s">
        <v>391</v>
      </c>
      <c r="J32" t="str">
        <f t="shared" si="1"/>
        <v>SPARFEL YOUNA</v>
      </c>
    </row>
    <row r="33" spans="1:10" ht="15" x14ac:dyDescent="0.25">
      <c r="A33" t="s">
        <v>121</v>
      </c>
      <c r="B33" s="1">
        <v>1</v>
      </c>
      <c r="C33">
        <f ca="1">IFERROR(__xludf.DUMMYFUNCTION("COUNTA(IFERROR(filter('Réponses au formulaire 1'!D:D,'Réponses au formulaire 1'!D:D=A33)))"),1)</f>
        <v>1</v>
      </c>
      <c r="D33" t="str">
        <f t="shared" ca="1" si="0"/>
        <v/>
      </c>
      <c r="H33" s="3" t="s">
        <v>392</v>
      </c>
      <c r="I33" s="3" t="s">
        <v>393</v>
      </c>
      <c r="J33" t="str">
        <f t="shared" si="1"/>
        <v>TABUREL ROSALIE</v>
      </c>
    </row>
    <row r="34" spans="1:10" ht="15" x14ac:dyDescent="0.25">
      <c r="A34" t="s">
        <v>125</v>
      </c>
      <c r="B34" s="1">
        <v>1</v>
      </c>
      <c r="C34">
        <f ca="1">IFERROR(__xludf.DUMMYFUNCTION("COUNTA(IFERROR(filter('Réponses au formulaire 1'!D:D,'Réponses au formulaire 1'!D:D=A34)))"),1)</f>
        <v>1</v>
      </c>
      <c r="D34" t="str">
        <f t="shared" ca="1" si="0"/>
        <v/>
      </c>
      <c r="H34" s="4" t="s">
        <v>394</v>
      </c>
      <c r="I34" s="4" t="s">
        <v>395</v>
      </c>
      <c r="J34" t="str">
        <f t="shared" si="1"/>
        <v>VIGOUROUX PIERRE</v>
      </c>
    </row>
    <row r="35" spans="1:10" ht="15" x14ac:dyDescent="0.25">
      <c r="A35" t="s">
        <v>88</v>
      </c>
      <c r="B35" s="1">
        <v>1</v>
      </c>
      <c r="C35">
        <f ca="1">IFERROR(__xludf.DUMMYFUNCTION("COUNTA(IFERROR(filter('Réponses au formulaire 1'!D:D,'Réponses au formulaire 1'!D:D=A35)))"),1)</f>
        <v>1</v>
      </c>
      <c r="D35" t="str">
        <f t="shared" ca="1" si="0"/>
        <v/>
      </c>
      <c r="H35" s="3" t="s">
        <v>396</v>
      </c>
      <c r="I35" s="3" t="s">
        <v>397</v>
      </c>
      <c r="J35" t="str">
        <f t="shared" si="1"/>
        <v>WILLIAMS ELODIE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6"/>
  <sheetViews>
    <sheetView workbookViewId="0"/>
  </sheetViews>
  <sheetFormatPr baseColWidth="10" defaultColWidth="14.42578125" defaultRowHeight="15.75" customHeight="1" x14ac:dyDescent="0.2"/>
  <cols>
    <col min="1" max="1" width="22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75</v>
      </c>
      <c r="B2" s="1">
        <v>1</v>
      </c>
      <c r="C2">
        <f ca="1">IFERROR(__xludf.DUMMYFUNCTION("COUNTA(IFERROR(filter('Réponses au formulaire 1'!E:E,'Réponses au formulaire 1'!E:E=A2)))"),1)</f>
        <v>1</v>
      </c>
      <c r="D2" t="str">
        <f t="shared" ref="D2:D36" ca="1" si="0">IF(B2&gt;C2,A2,"")</f>
        <v/>
      </c>
      <c r="E2" t="str">
        <f ca="1">IFERROR(__xludf.DUMMYFUNCTION("filter(D2:D36,D2:D36&lt;&gt;"""")"),"#N/A")</f>
        <v>#N/A</v>
      </c>
      <c r="H2" s="5" t="s">
        <v>398</v>
      </c>
      <c r="I2" s="5" t="s">
        <v>399</v>
      </c>
      <c r="J2" t="str">
        <f t="shared" ref="J2:J36" si="1">UPPER(H2&amp;" "&amp;I2)</f>
        <v>ALIAMANI SALOU ANAËLLE</v>
      </c>
    </row>
    <row r="3" spans="1:10" x14ac:dyDescent="0.25">
      <c r="A3" t="s">
        <v>43</v>
      </c>
      <c r="B3" s="1">
        <v>1</v>
      </c>
      <c r="C3">
        <f ca="1">IFERROR(__xludf.DUMMYFUNCTION("COUNTA(IFERROR(filter('Réponses au formulaire 1'!E:E,'Réponses au formulaire 1'!E:E=A3)))"),1)</f>
        <v>1</v>
      </c>
      <c r="D3" t="str">
        <f t="shared" ca="1" si="0"/>
        <v/>
      </c>
      <c r="H3" s="5" t="s">
        <v>400</v>
      </c>
      <c r="I3" s="5" t="s">
        <v>301</v>
      </c>
      <c r="J3" t="str">
        <f t="shared" si="1"/>
        <v>BARRY CLARA</v>
      </c>
    </row>
    <row r="4" spans="1:10" x14ac:dyDescent="0.25">
      <c r="A4" t="s">
        <v>215</v>
      </c>
      <c r="B4" s="1">
        <v>1</v>
      </c>
      <c r="C4">
        <f ca="1">IFERROR(__xludf.DUMMYFUNCTION("COUNTA(IFERROR(filter('Réponses au formulaire 1'!E:E,'Réponses au formulaire 1'!E:E=A4)))"),1)</f>
        <v>1</v>
      </c>
      <c r="D4" t="str">
        <f t="shared" ca="1" si="0"/>
        <v/>
      </c>
      <c r="H4" s="5" t="s">
        <v>401</v>
      </c>
      <c r="I4" s="5" t="s">
        <v>402</v>
      </c>
      <c r="J4" t="str">
        <f t="shared" si="1"/>
        <v>BELLAIS JULES</v>
      </c>
    </row>
    <row r="5" spans="1:10" x14ac:dyDescent="0.25">
      <c r="A5" t="s">
        <v>55</v>
      </c>
      <c r="B5" s="1">
        <v>1</v>
      </c>
      <c r="C5">
        <f ca="1">IFERROR(__xludf.DUMMYFUNCTION("COUNTA(IFERROR(filter('Réponses au formulaire 1'!E:E,'Réponses au formulaire 1'!E:E=A5)))"),1)</f>
        <v>1</v>
      </c>
      <c r="D5" t="str">
        <f t="shared" ca="1" si="0"/>
        <v/>
      </c>
      <c r="H5" s="5" t="s">
        <v>403</v>
      </c>
      <c r="I5" s="5" t="s">
        <v>404</v>
      </c>
      <c r="J5" t="str">
        <f t="shared" si="1"/>
        <v>BENOIST BERTILLE</v>
      </c>
    </row>
    <row r="6" spans="1:10" x14ac:dyDescent="0.25">
      <c r="A6" t="s">
        <v>203</v>
      </c>
      <c r="B6" s="1">
        <v>1</v>
      </c>
      <c r="C6">
        <f ca="1">IFERROR(__xludf.DUMMYFUNCTION("COUNTA(IFERROR(filter('Réponses au formulaire 1'!E:E,'Réponses au formulaire 1'!E:E=A6)))"),1)</f>
        <v>1</v>
      </c>
      <c r="D6" t="str">
        <f t="shared" ca="1" si="0"/>
        <v/>
      </c>
      <c r="H6" s="5" t="s">
        <v>405</v>
      </c>
      <c r="I6" s="5" t="s">
        <v>270</v>
      </c>
      <c r="J6" t="str">
        <f t="shared" si="1"/>
        <v>BERREGARD YANIS</v>
      </c>
    </row>
    <row r="7" spans="1:10" x14ac:dyDescent="0.25">
      <c r="A7" t="s">
        <v>40</v>
      </c>
      <c r="B7" s="1">
        <v>1</v>
      </c>
      <c r="C7">
        <f ca="1">IFERROR(__xludf.DUMMYFUNCTION("COUNTA(IFERROR(filter('Réponses au formulaire 1'!E:E,'Réponses au formulaire 1'!E:E=A7)))"),1)</f>
        <v>1</v>
      </c>
      <c r="D7" t="str">
        <f t="shared" ca="1" si="0"/>
        <v/>
      </c>
      <c r="H7" s="5" t="s">
        <v>406</v>
      </c>
      <c r="I7" s="5" t="s">
        <v>407</v>
      </c>
      <c r="J7" t="str">
        <f t="shared" si="1"/>
        <v>BESSIERE JADE</v>
      </c>
    </row>
    <row r="8" spans="1:10" x14ac:dyDescent="0.25">
      <c r="A8" t="s">
        <v>164</v>
      </c>
      <c r="B8" s="1">
        <v>1</v>
      </c>
      <c r="C8">
        <f ca="1">IFERROR(__xludf.DUMMYFUNCTION("COUNTA(IFERROR(filter('Réponses au formulaire 1'!E:E,'Réponses au formulaire 1'!E:E=A8)))"),1)</f>
        <v>1</v>
      </c>
      <c r="D8" t="str">
        <f t="shared" ca="1" si="0"/>
        <v/>
      </c>
      <c r="H8" s="5" t="s">
        <v>408</v>
      </c>
      <c r="I8" s="5" t="s">
        <v>409</v>
      </c>
      <c r="J8" t="str">
        <f t="shared" si="1"/>
        <v>BODILIS THOMAS</v>
      </c>
    </row>
    <row r="9" spans="1:10" x14ac:dyDescent="0.25">
      <c r="A9" t="s">
        <v>38</v>
      </c>
      <c r="B9" s="1">
        <v>1</v>
      </c>
      <c r="C9">
        <f ca="1">IFERROR(__xludf.DUMMYFUNCTION("COUNTA(IFERROR(filter('Réponses au formulaire 1'!E:E,'Réponses au formulaire 1'!E:E=A9)))"),1)</f>
        <v>1</v>
      </c>
      <c r="D9" t="str">
        <f t="shared" ca="1" si="0"/>
        <v/>
      </c>
      <c r="H9" s="5" t="s">
        <v>410</v>
      </c>
      <c r="I9" s="5" t="s">
        <v>411</v>
      </c>
      <c r="J9" t="str">
        <f t="shared" si="1"/>
        <v>BOUDOUL NOÉMIE</v>
      </c>
    </row>
    <row r="10" spans="1:10" x14ac:dyDescent="0.25">
      <c r="A10" t="s">
        <v>67</v>
      </c>
      <c r="B10" s="1">
        <v>1</v>
      </c>
      <c r="C10">
        <f ca="1">IFERROR(__xludf.DUMMYFUNCTION("COUNTA(IFERROR(filter('Réponses au formulaire 1'!E:E,'Réponses au formulaire 1'!E:E=A10)))"),1)</f>
        <v>1</v>
      </c>
      <c r="D10" t="str">
        <f t="shared" ca="1" si="0"/>
        <v/>
      </c>
      <c r="H10" s="5" t="s">
        <v>412</v>
      </c>
      <c r="I10" s="5" t="s">
        <v>413</v>
      </c>
      <c r="J10" t="str">
        <f t="shared" si="1"/>
        <v>BOUREY ALEXIS</v>
      </c>
    </row>
    <row r="11" spans="1:10" x14ac:dyDescent="0.25">
      <c r="A11" t="s">
        <v>143</v>
      </c>
      <c r="B11" s="1">
        <v>1</v>
      </c>
      <c r="C11">
        <f ca="1">IFERROR(__xludf.DUMMYFUNCTION("COUNTA(IFERROR(filter('Réponses au formulaire 1'!E:E,'Réponses au formulaire 1'!E:E=A11)))"),1)</f>
        <v>1</v>
      </c>
      <c r="D11" t="str">
        <f t="shared" ca="1" si="0"/>
        <v/>
      </c>
      <c r="H11" s="5" t="s">
        <v>414</v>
      </c>
      <c r="I11" s="5" t="s">
        <v>415</v>
      </c>
      <c r="J11" t="str">
        <f t="shared" si="1"/>
        <v>BOUYAZRA CHAÏMA</v>
      </c>
    </row>
    <row r="12" spans="1:10" x14ac:dyDescent="0.25">
      <c r="A12" t="s">
        <v>68</v>
      </c>
      <c r="B12" s="1">
        <v>1</v>
      </c>
      <c r="C12">
        <f ca="1">IFERROR(__xludf.DUMMYFUNCTION("COUNTA(IFERROR(filter('Réponses au formulaire 1'!E:E,'Réponses au formulaire 1'!E:E=A12)))"),1)</f>
        <v>1</v>
      </c>
      <c r="D12" t="str">
        <f t="shared" ca="1" si="0"/>
        <v/>
      </c>
      <c r="H12" s="5" t="s">
        <v>416</v>
      </c>
      <c r="I12" s="5" t="s">
        <v>417</v>
      </c>
      <c r="J12" t="str">
        <f t="shared" si="1"/>
        <v>BRYCKAERT FLORE</v>
      </c>
    </row>
    <row r="13" spans="1:10" x14ac:dyDescent="0.25">
      <c r="A13" t="s">
        <v>50</v>
      </c>
      <c r="B13" s="1">
        <v>1</v>
      </c>
      <c r="C13">
        <f ca="1">IFERROR(__xludf.DUMMYFUNCTION("COUNTA(IFERROR(filter('Réponses au formulaire 1'!E:E,'Réponses au formulaire 1'!E:E=A13)))"),1)</f>
        <v>1</v>
      </c>
      <c r="D13" t="str">
        <f t="shared" ca="1" si="0"/>
        <v/>
      </c>
      <c r="H13" s="5" t="s">
        <v>418</v>
      </c>
      <c r="I13" s="5" t="s">
        <v>419</v>
      </c>
      <c r="J13" t="str">
        <f t="shared" si="1"/>
        <v>CLAQUIN ANNA</v>
      </c>
    </row>
    <row r="14" spans="1:10" x14ac:dyDescent="0.25">
      <c r="A14" t="s">
        <v>161</v>
      </c>
      <c r="B14" s="1">
        <v>1</v>
      </c>
      <c r="C14">
        <f ca="1">IFERROR(__xludf.DUMMYFUNCTION("COUNTA(IFERROR(filter('Réponses au formulaire 1'!E:E,'Réponses au formulaire 1'!E:E=A14)))"),1)</f>
        <v>1</v>
      </c>
      <c r="D14" t="str">
        <f t="shared" ca="1" si="0"/>
        <v/>
      </c>
      <c r="H14" s="5" t="s">
        <v>420</v>
      </c>
      <c r="I14" s="5" t="s">
        <v>421</v>
      </c>
      <c r="J14" t="str">
        <f t="shared" si="1"/>
        <v>CLAUDE CLÉLIA</v>
      </c>
    </row>
    <row r="15" spans="1:10" x14ac:dyDescent="0.25">
      <c r="A15" t="s">
        <v>63</v>
      </c>
      <c r="B15" s="1">
        <v>1</v>
      </c>
      <c r="C15">
        <f ca="1">IFERROR(__xludf.DUMMYFUNCTION("COUNTA(IFERROR(filter('Réponses au formulaire 1'!E:E,'Réponses au formulaire 1'!E:E=A15)))"),1)</f>
        <v>1</v>
      </c>
      <c r="D15" t="str">
        <f t="shared" ca="1" si="0"/>
        <v/>
      </c>
      <c r="H15" s="5" t="s">
        <v>422</v>
      </c>
      <c r="I15" s="5" t="s">
        <v>423</v>
      </c>
      <c r="J15" t="str">
        <f t="shared" si="1"/>
        <v>COBERT SWANN</v>
      </c>
    </row>
    <row r="16" spans="1:10" x14ac:dyDescent="0.25">
      <c r="A16" t="s">
        <v>112</v>
      </c>
      <c r="B16" s="1">
        <v>1</v>
      </c>
      <c r="C16">
        <f ca="1">IFERROR(__xludf.DUMMYFUNCTION("COUNTA(IFERROR(filter('Réponses au formulaire 1'!E:E,'Réponses au formulaire 1'!E:E=A16)))"),1)</f>
        <v>1</v>
      </c>
      <c r="D16" t="str">
        <f t="shared" ca="1" si="0"/>
        <v/>
      </c>
      <c r="H16" s="5" t="s">
        <v>351</v>
      </c>
      <c r="I16" s="5" t="s">
        <v>424</v>
      </c>
      <c r="J16" t="str">
        <f t="shared" si="1"/>
        <v>DAMOUR LOANE</v>
      </c>
    </row>
    <row r="17" spans="1:10" x14ac:dyDescent="0.25">
      <c r="A17" t="s">
        <v>89</v>
      </c>
      <c r="B17" s="1">
        <v>1</v>
      </c>
      <c r="C17">
        <f ca="1">IFERROR(__xludf.DUMMYFUNCTION("COUNTA(IFERROR(filter('Réponses au formulaire 1'!E:E,'Réponses au formulaire 1'!E:E=A17)))"),1)</f>
        <v>1</v>
      </c>
      <c r="D17" t="str">
        <f t="shared" ca="1" si="0"/>
        <v/>
      </c>
      <c r="H17" s="5" t="s">
        <v>425</v>
      </c>
      <c r="I17" s="5" t="s">
        <v>426</v>
      </c>
      <c r="J17" t="str">
        <f t="shared" si="1"/>
        <v>DAVID CAMILLE</v>
      </c>
    </row>
    <row r="18" spans="1:10" x14ac:dyDescent="0.25">
      <c r="A18" t="s">
        <v>119</v>
      </c>
      <c r="B18" s="1">
        <v>1</v>
      </c>
      <c r="C18">
        <f ca="1">IFERROR(__xludf.DUMMYFUNCTION("COUNTA(IFERROR(filter('Réponses au formulaire 1'!E:E,'Réponses au formulaire 1'!E:E=A18)))"),1)</f>
        <v>1</v>
      </c>
      <c r="D18" t="str">
        <f t="shared" ca="1" si="0"/>
        <v/>
      </c>
      <c r="H18" s="5" t="s">
        <v>427</v>
      </c>
      <c r="I18" s="5" t="s">
        <v>379</v>
      </c>
      <c r="J18" t="str">
        <f t="shared" si="1"/>
        <v>GALLON FÉCHANT LOUISE</v>
      </c>
    </row>
    <row r="19" spans="1:10" x14ac:dyDescent="0.25">
      <c r="A19" t="s">
        <v>16</v>
      </c>
      <c r="B19" s="1">
        <v>1</v>
      </c>
      <c r="C19">
        <f ca="1">IFERROR(__xludf.DUMMYFUNCTION("COUNTA(IFERROR(filter('Réponses au formulaire 1'!E:E,'Réponses au formulaire 1'!E:E=A19)))"),2)</f>
        <v>2</v>
      </c>
      <c r="D19" t="str">
        <f t="shared" ca="1" si="0"/>
        <v/>
      </c>
      <c r="H19" s="5" t="s">
        <v>428</v>
      </c>
      <c r="I19" s="5" t="s">
        <v>429</v>
      </c>
      <c r="J19" t="str">
        <f t="shared" si="1"/>
        <v>GUENEE EWAN</v>
      </c>
    </row>
    <row r="20" spans="1:10" x14ac:dyDescent="0.25">
      <c r="A20" t="s">
        <v>124</v>
      </c>
      <c r="B20" s="1">
        <v>1</v>
      </c>
      <c r="C20">
        <f ca="1">IFERROR(__xludf.DUMMYFUNCTION("COUNTA(IFERROR(filter('Réponses au formulaire 1'!E:E,'Réponses au formulaire 1'!E:E=A20)))"),1)</f>
        <v>1</v>
      </c>
      <c r="D20" t="str">
        <f t="shared" ca="1" si="0"/>
        <v/>
      </c>
      <c r="H20" s="5" t="s">
        <v>430</v>
      </c>
      <c r="I20" s="5" t="s">
        <v>426</v>
      </c>
      <c r="J20" t="str">
        <f t="shared" si="1"/>
        <v>GUÉRARD CAMILLE</v>
      </c>
    </row>
    <row r="21" spans="1:10" x14ac:dyDescent="0.25">
      <c r="A21" t="s">
        <v>20</v>
      </c>
      <c r="B21" s="1">
        <v>1</v>
      </c>
      <c r="C21">
        <f ca="1">IFERROR(__xludf.DUMMYFUNCTION("COUNTA(IFERROR(filter('Réponses au formulaire 1'!E:E,'Réponses au formulaire 1'!E:E=A21)))"),1)</f>
        <v>1</v>
      </c>
      <c r="D21" t="str">
        <f t="shared" ca="1" si="0"/>
        <v/>
      </c>
      <c r="H21" s="5" t="s">
        <v>431</v>
      </c>
      <c r="I21" s="5" t="s">
        <v>432</v>
      </c>
      <c r="J21" t="str">
        <f t="shared" si="1"/>
        <v>GUILCHER OSCAR</v>
      </c>
    </row>
    <row r="22" spans="1:10" x14ac:dyDescent="0.25">
      <c r="A22" t="s">
        <v>71</v>
      </c>
      <c r="B22" s="1">
        <v>1</v>
      </c>
      <c r="C22">
        <f ca="1">IFERROR(__xludf.DUMMYFUNCTION("COUNTA(IFERROR(filter('Réponses au formulaire 1'!E:E,'Réponses au formulaire 1'!E:E=A22)))"),1)</f>
        <v>1</v>
      </c>
      <c r="D22" t="str">
        <f t="shared" ca="1" si="0"/>
        <v/>
      </c>
      <c r="H22" s="5" t="s">
        <v>433</v>
      </c>
      <c r="I22" s="5" t="s">
        <v>434</v>
      </c>
      <c r="J22" t="str">
        <f t="shared" si="1"/>
        <v>GUILLOU AMANDINE</v>
      </c>
    </row>
    <row r="23" spans="1:10" ht="15" x14ac:dyDescent="0.25">
      <c r="A23" t="s">
        <v>107</v>
      </c>
      <c r="B23" s="1">
        <v>1</v>
      </c>
      <c r="C23">
        <f ca="1">IFERROR(__xludf.DUMMYFUNCTION("COUNTA(IFERROR(filter('Réponses au formulaire 1'!E:E,'Réponses au formulaire 1'!E:E=A23)))"),1)</f>
        <v>1</v>
      </c>
      <c r="D23" t="str">
        <f t="shared" ca="1" si="0"/>
        <v/>
      </c>
      <c r="H23" s="5" t="s">
        <v>435</v>
      </c>
      <c r="I23" s="5" t="s">
        <v>436</v>
      </c>
      <c r="J23" t="str">
        <f t="shared" si="1"/>
        <v>JOSSELIN ALEXANDRE</v>
      </c>
    </row>
    <row r="24" spans="1:10" ht="15" x14ac:dyDescent="0.25">
      <c r="A24" t="s">
        <v>115</v>
      </c>
      <c r="B24" s="1">
        <v>1</v>
      </c>
      <c r="C24">
        <f ca="1">IFERROR(__xludf.DUMMYFUNCTION("COUNTA(IFERROR(filter('Réponses au formulaire 1'!E:E,'Réponses au formulaire 1'!E:E=A24)))"),1)</f>
        <v>1</v>
      </c>
      <c r="D24" t="str">
        <f t="shared" ca="1" si="0"/>
        <v/>
      </c>
      <c r="H24" s="5" t="s">
        <v>437</v>
      </c>
      <c r="I24" s="5" t="s">
        <v>438</v>
      </c>
      <c r="J24" t="str">
        <f t="shared" si="1"/>
        <v>LACIRE AUDREY</v>
      </c>
    </row>
    <row r="25" spans="1:10" ht="15" x14ac:dyDescent="0.25">
      <c r="A25" t="s">
        <v>70</v>
      </c>
      <c r="B25" s="1">
        <v>1</v>
      </c>
      <c r="C25">
        <f ca="1">IFERROR(__xludf.DUMMYFUNCTION("COUNTA(IFERROR(filter('Réponses au formulaire 1'!E:E,'Réponses au formulaire 1'!E:E=A25)))"),1)</f>
        <v>1</v>
      </c>
      <c r="D25" t="str">
        <f t="shared" ca="1" si="0"/>
        <v/>
      </c>
      <c r="H25" s="5" t="s">
        <v>439</v>
      </c>
      <c r="I25" s="5" t="s">
        <v>440</v>
      </c>
      <c r="J25" t="str">
        <f t="shared" si="1"/>
        <v>LAMBERT STERENN</v>
      </c>
    </row>
    <row r="26" spans="1:10" ht="15" x14ac:dyDescent="0.25">
      <c r="A26" t="s">
        <v>62</v>
      </c>
      <c r="B26" s="1">
        <v>1</v>
      </c>
      <c r="C26">
        <f ca="1">IFERROR(__xludf.DUMMYFUNCTION("COUNTA(IFERROR(filter('Réponses au formulaire 1'!E:E,'Réponses au formulaire 1'!E:E=A26)))"),1)</f>
        <v>1</v>
      </c>
      <c r="D26" t="str">
        <f t="shared" ca="1" si="0"/>
        <v/>
      </c>
      <c r="H26" s="5" t="s">
        <v>441</v>
      </c>
      <c r="I26" s="5" t="s">
        <v>442</v>
      </c>
      <c r="J26" t="str">
        <f t="shared" si="1"/>
        <v>LE TORTOREC -PERRIER HAYA</v>
      </c>
    </row>
    <row r="27" spans="1:10" ht="15" x14ac:dyDescent="0.25">
      <c r="A27" t="s">
        <v>42</v>
      </c>
      <c r="B27" s="1">
        <v>1</v>
      </c>
      <c r="C27">
        <f ca="1">IFERROR(__xludf.DUMMYFUNCTION("COUNTA(IFERROR(filter('Réponses au formulaire 1'!E:E,'Réponses au formulaire 1'!E:E=A27)))"),1)</f>
        <v>1</v>
      </c>
      <c r="D27" t="str">
        <f t="shared" ca="1" si="0"/>
        <v/>
      </c>
      <c r="H27" s="5" t="s">
        <v>443</v>
      </c>
      <c r="I27" s="5" t="s">
        <v>444</v>
      </c>
      <c r="J27" t="str">
        <f t="shared" si="1"/>
        <v>LEUNG DELPHINE</v>
      </c>
    </row>
    <row r="28" spans="1:10" ht="15" x14ac:dyDescent="0.25">
      <c r="A28" t="s">
        <v>57</v>
      </c>
      <c r="B28" s="1">
        <v>1</v>
      </c>
      <c r="C28">
        <f ca="1">IFERROR(__xludf.DUMMYFUNCTION("COUNTA(IFERROR(filter('Réponses au formulaire 1'!E:E,'Réponses au formulaire 1'!E:E=A28)))"),1)</f>
        <v>1</v>
      </c>
      <c r="D28" t="str">
        <f t="shared" ca="1" si="0"/>
        <v/>
      </c>
      <c r="H28" s="5" t="s">
        <v>445</v>
      </c>
      <c r="I28" s="5" t="s">
        <v>446</v>
      </c>
      <c r="J28" t="str">
        <f t="shared" si="1"/>
        <v>MARGARIT MAINA</v>
      </c>
    </row>
    <row r="29" spans="1:10" ht="15" x14ac:dyDescent="0.25">
      <c r="A29" t="s">
        <v>33</v>
      </c>
      <c r="B29" s="1">
        <v>1</v>
      </c>
      <c r="C29">
        <f ca="1">IFERROR(__xludf.DUMMYFUNCTION("COUNTA(IFERROR(filter('Réponses au formulaire 1'!E:E,'Réponses au formulaire 1'!E:E=A29)))"),1)</f>
        <v>1</v>
      </c>
      <c r="D29" t="str">
        <f t="shared" ca="1" si="0"/>
        <v/>
      </c>
      <c r="H29" s="5" t="s">
        <v>447</v>
      </c>
      <c r="I29" s="5" t="s">
        <v>448</v>
      </c>
      <c r="J29" t="str">
        <f t="shared" si="1"/>
        <v>MASSA EUGENIE</v>
      </c>
    </row>
    <row r="30" spans="1:10" ht="15" x14ac:dyDescent="0.25">
      <c r="A30" t="s">
        <v>101</v>
      </c>
      <c r="B30" s="1">
        <v>1</v>
      </c>
      <c r="C30">
        <f ca="1">IFERROR(__xludf.DUMMYFUNCTION("COUNTA(IFERROR(filter('Réponses au formulaire 1'!E:E,'Réponses au formulaire 1'!E:E=A30)))"),1)</f>
        <v>1</v>
      </c>
      <c r="D30" t="str">
        <f t="shared" ca="1" si="0"/>
        <v/>
      </c>
      <c r="H30" s="5" t="s">
        <v>449</v>
      </c>
      <c r="I30" s="5" t="s">
        <v>450</v>
      </c>
      <c r="J30" t="str">
        <f t="shared" si="1"/>
        <v>NORPAN PREETI</v>
      </c>
    </row>
    <row r="31" spans="1:10" ht="15" x14ac:dyDescent="0.25">
      <c r="A31" t="s">
        <v>56</v>
      </c>
      <c r="B31" s="1">
        <v>1</v>
      </c>
      <c r="C31">
        <f ca="1">IFERROR(__xludf.DUMMYFUNCTION("COUNTA(IFERROR(filter('Réponses au formulaire 1'!E:E,'Réponses au formulaire 1'!E:E=A31)))"),1)</f>
        <v>1</v>
      </c>
      <c r="D31" t="str">
        <f t="shared" ca="1" si="0"/>
        <v/>
      </c>
      <c r="H31" s="5" t="s">
        <v>451</v>
      </c>
      <c r="I31" s="5" t="s">
        <v>452</v>
      </c>
      <c r="J31" t="str">
        <f t="shared" si="1"/>
        <v>PAIX ELYOTT</v>
      </c>
    </row>
    <row r="32" spans="1:10" ht="15" x14ac:dyDescent="0.25">
      <c r="A32" t="s">
        <v>41</v>
      </c>
      <c r="B32" s="1">
        <v>1</v>
      </c>
      <c r="C32">
        <f ca="1">IFERROR(__xludf.DUMMYFUNCTION("COUNTA(IFERROR(filter('Réponses au formulaire 1'!E:E,'Réponses au formulaire 1'!E:E=A32)))"),1)</f>
        <v>1</v>
      </c>
      <c r="D32" t="str">
        <f t="shared" ca="1" si="0"/>
        <v/>
      </c>
      <c r="H32" s="5" t="s">
        <v>453</v>
      </c>
      <c r="I32" s="5" t="s">
        <v>454</v>
      </c>
      <c r="J32" t="str">
        <f t="shared" si="1"/>
        <v>QUÉMERAS FÉLIX</v>
      </c>
    </row>
    <row r="33" spans="1:10" ht="15" x14ac:dyDescent="0.25">
      <c r="A33" t="s">
        <v>37</v>
      </c>
      <c r="B33" s="1">
        <v>1</v>
      </c>
      <c r="C33">
        <f ca="1">IFERROR(__xludf.DUMMYFUNCTION("COUNTA(IFERROR(filter('Réponses au formulaire 1'!E:E,'Réponses au formulaire 1'!E:E=A33)))"),1)</f>
        <v>1</v>
      </c>
      <c r="D33" t="str">
        <f t="shared" ca="1" si="0"/>
        <v/>
      </c>
      <c r="H33" s="5" t="s">
        <v>455</v>
      </c>
      <c r="I33" s="5" t="s">
        <v>456</v>
      </c>
      <c r="J33" t="str">
        <f t="shared" si="1"/>
        <v>ROMEUR ESTEBAN</v>
      </c>
    </row>
    <row r="34" spans="1:10" ht="15" x14ac:dyDescent="0.25">
      <c r="A34" t="s">
        <v>102</v>
      </c>
      <c r="B34" s="1">
        <v>1</v>
      </c>
      <c r="C34">
        <f ca="1">IFERROR(__xludf.DUMMYFUNCTION("COUNTA(IFERROR(filter('Réponses au formulaire 1'!E:E,'Réponses au formulaire 1'!E:E=A34)))"),1)</f>
        <v>1</v>
      </c>
      <c r="D34" t="str">
        <f t="shared" ca="1" si="0"/>
        <v/>
      </c>
      <c r="H34" s="5" t="s">
        <v>457</v>
      </c>
      <c r="I34" s="5" t="s">
        <v>458</v>
      </c>
      <c r="J34" t="str">
        <f t="shared" si="1"/>
        <v>SEVERE PIERRE-LOUP</v>
      </c>
    </row>
    <row r="35" spans="1:10" ht="15" x14ac:dyDescent="0.25">
      <c r="A35" t="s">
        <v>69</v>
      </c>
      <c r="B35" s="1">
        <v>1</v>
      </c>
      <c r="C35">
        <f ca="1">IFERROR(__xludf.DUMMYFUNCTION("COUNTA(IFERROR(filter('Réponses au formulaire 1'!E:E,'Réponses au formulaire 1'!E:E=A35)))"),1)</f>
        <v>1</v>
      </c>
      <c r="D35" t="str">
        <f t="shared" ca="1" si="0"/>
        <v/>
      </c>
      <c r="H35" s="5" t="s">
        <v>459</v>
      </c>
      <c r="I35" s="5" t="s">
        <v>385</v>
      </c>
      <c r="J35" t="str">
        <f t="shared" si="1"/>
        <v>TIXIER ARTHUR</v>
      </c>
    </row>
    <row r="36" spans="1:10" ht="15" x14ac:dyDescent="0.25">
      <c r="A36" t="s">
        <v>48</v>
      </c>
      <c r="B36" s="1">
        <v>1</v>
      </c>
      <c r="C36">
        <f ca="1">IFERROR(__xludf.DUMMYFUNCTION("COUNTA(IFERROR(filter('Réponses au formulaire 1'!E:E,'Réponses au formulaire 1'!E:E=A36)))"),1)</f>
        <v>1</v>
      </c>
      <c r="D36" t="str">
        <f t="shared" ca="1" si="0"/>
        <v/>
      </c>
      <c r="H36" s="5" t="s">
        <v>460</v>
      </c>
      <c r="I36" s="5" t="s">
        <v>461</v>
      </c>
      <c r="J36" t="str">
        <f t="shared" si="1"/>
        <v>ZHU LAURENT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6"/>
  <sheetViews>
    <sheetView workbookViewId="0"/>
  </sheetViews>
  <sheetFormatPr baseColWidth="10" defaultColWidth="14.42578125" defaultRowHeight="15.75" customHeight="1" x14ac:dyDescent="0.2"/>
  <cols>
    <col min="1" max="1" width="24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86</v>
      </c>
      <c r="B2" s="1">
        <v>1</v>
      </c>
      <c r="C2">
        <f ca="1">IFERROR(__xludf.DUMMYFUNCTION("COUNTA(IFERROR(filter('Réponses au formulaire 1'!F:F,'Réponses au formulaire 1'!F:F=A2)))"),1)</f>
        <v>1</v>
      </c>
      <c r="D2" t="str">
        <f t="shared" ref="D2:D36" ca="1" si="0">IF(B2&gt;C2,A2,"")</f>
        <v/>
      </c>
      <c r="E2" t="str">
        <f ca="1">IFERROR(__xludf.DUMMYFUNCTION("filter(D2:D36,D2:D36&lt;&gt;"""")"),"GAUBERT MAXIME")</f>
        <v>GAUBERT MAXIME</v>
      </c>
      <c r="H2" s="5" t="s">
        <v>462</v>
      </c>
      <c r="I2" s="5" t="s">
        <v>307</v>
      </c>
      <c r="J2" t="str">
        <f t="shared" ref="J2:J30" si="1">UPPER(H2&amp;" "&amp;I2)</f>
        <v>BANNIER ALEXANDRE</v>
      </c>
    </row>
    <row r="3" spans="1:10" x14ac:dyDescent="0.25">
      <c r="A3" t="s">
        <v>129</v>
      </c>
      <c r="B3" s="1">
        <v>1</v>
      </c>
      <c r="C3">
        <f ca="1">IFERROR(__xludf.DUMMYFUNCTION("COUNTA(IFERROR(filter('Réponses au formulaire 1'!F:F,'Réponses au formulaire 1'!F:F=A3)))"),1)</f>
        <v>1</v>
      </c>
      <c r="D3" t="str">
        <f t="shared" ca="1" si="0"/>
        <v/>
      </c>
      <c r="E3" t="str">
        <f ca="1">IFERROR(__xludf.DUMMYFUNCTION("""COMPUTED_VALUE"""),"PARGNY ZOE")</f>
        <v>PARGNY ZOE</v>
      </c>
      <c r="H3" s="4" t="s">
        <v>463</v>
      </c>
      <c r="I3" s="4" t="s">
        <v>464</v>
      </c>
      <c r="J3" t="str">
        <f t="shared" si="1"/>
        <v>BELLEC INÈS</v>
      </c>
    </row>
    <row r="4" spans="1:10" x14ac:dyDescent="0.25">
      <c r="A4" t="s">
        <v>220</v>
      </c>
      <c r="B4" s="1">
        <v>1</v>
      </c>
      <c r="C4">
        <f ca="1">IFERROR(__xludf.DUMMYFUNCTION("COUNTA(IFERROR(filter('Réponses au formulaire 1'!F:F,'Réponses au formulaire 1'!F:F=A4)))"),1)</f>
        <v>1</v>
      </c>
      <c r="D4" t="str">
        <f t="shared" ca="1" si="0"/>
        <v/>
      </c>
      <c r="H4" s="5" t="s">
        <v>465</v>
      </c>
      <c r="I4" s="5" t="s">
        <v>466</v>
      </c>
      <c r="J4" t="str">
        <f t="shared" si="1"/>
        <v>BERNICOT YOUENN</v>
      </c>
    </row>
    <row r="5" spans="1:10" x14ac:dyDescent="0.25">
      <c r="A5" t="s">
        <v>168</v>
      </c>
      <c r="B5" s="1">
        <v>1</v>
      </c>
      <c r="C5">
        <f ca="1">IFERROR(__xludf.DUMMYFUNCTION("COUNTA(IFERROR(filter('Réponses au formulaire 1'!F:F,'Réponses au formulaire 1'!F:F=A5)))"),1)</f>
        <v>1</v>
      </c>
      <c r="D5" t="str">
        <f t="shared" ca="1" si="0"/>
        <v/>
      </c>
      <c r="H5" s="4" t="s">
        <v>467</v>
      </c>
      <c r="I5" s="4" t="s">
        <v>468</v>
      </c>
      <c r="J5" t="str">
        <f t="shared" si="1"/>
        <v>BODIGUEL JULES</v>
      </c>
    </row>
    <row r="6" spans="1:10" x14ac:dyDescent="0.25">
      <c r="A6" t="s">
        <v>204</v>
      </c>
      <c r="B6" s="1">
        <v>1</v>
      </c>
      <c r="C6">
        <f ca="1">IFERROR(__xludf.DUMMYFUNCTION("COUNTA(IFERROR(filter('Réponses au formulaire 1'!F:F,'Réponses au formulaire 1'!F:F=A6)))"),1)</f>
        <v>1</v>
      </c>
      <c r="D6" t="str">
        <f t="shared" ca="1" si="0"/>
        <v/>
      </c>
      <c r="H6" s="5" t="s">
        <v>469</v>
      </c>
      <c r="I6" s="5" t="s">
        <v>470</v>
      </c>
      <c r="J6" t="str">
        <f t="shared" si="1"/>
        <v>BOURLIER GABRIEL</v>
      </c>
    </row>
    <row r="7" spans="1:10" x14ac:dyDescent="0.25">
      <c r="A7" t="s">
        <v>208</v>
      </c>
      <c r="B7" s="1">
        <v>1</v>
      </c>
      <c r="C7">
        <f ca="1">IFERROR(__xludf.DUMMYFUNCTION("COUNTA(IFERROR(filter('Réponses au formulaire 1'!F:F,'Réponses au formulaire 1'!F:F=A7)))"),1)</f>
        <v>1</v>
      </c>
      <c r="D7" t="str">
        <f t="shared" ca="1" si="0"/>
        <v/>
      </c>
      <c r="H7" s="4" t="s">
        <v>471</v>
      </c>
      <c r="I7" s="4" t="s">
        <v>472</v>
      </c>
      <c r="J7" t="str">
        <f t="shared" si="1"/>
        <v>BRUNET PAUL</v>
      </c>
    </row>
    <row r="8" spans="1:10" x14ac:dyDescent="0.25">
      <c r="A8" t="s">
        <v>249</v>
      </c>
      <c r="B8" s="1">
        <v>1</v>
      </c>
      <c r="C8">
        <f ca="1">IFERROR(__xludf.DUMMYFUNCTION("COUNTA(IFERROR(filter('Réponses au formulaire 1'!F:F,'Réponses au formulaire 1'!F:F=A8)))"),1)</f>
        <v>1</v>
      </c>
      <c r="D8" t="str">
        <f t="shared" ca="1" si="0"/>
        <v/>
      </c>
      <c r="H8" s="4" t="s">
        <v>473</v>
      </c>
      <c r="I8" s="4" t="s">
        <v>424</v>
      </c>
      <c r="J8" t="str">
        <f t="shared" si="1"/>
        <v>CADIEU LOANE</v>
      </c>
    </row>
    <row r="9" spans="1:10" x14ac:dyDescent="0.25">
      <c r="A9" t="s">
        <v>210</v>
      </c>
      <c r="B9" s="1">
        <v>1</v>
      </c>
      <c r="C9">
        <f ca="1">IFERROR(__xludf.DUMMYFUNCTION("COUNTA(IFERROR(filter('Réponses au formulaire 1'!F:F,'Réponses au formulaire 1'!F:F=A9)))"),1)</f>
        <v>1</v>
      </c>
      <c r="D9" t="str">
        <f t="shared" ca="1" si="0"/>
        <v/>
      </c>
      <c r="H9" s="5" t="s">
        <v>474</v>
      </c>
      <c r="I9" s="5" t="s">
        <v>475</v>
      </c>
      <c r="J9" t="str">
        <f t="shared" si="1"/>
        <v>CHARRIER GATIEN</v>
      </c>
    </row>
    <row r="10" spans="1:10" x14ac:dyDescent="0.25">
      <c r="A10" t="s">
        <v>135</v>
      </c>
      <c r="B10" s="1">
        <v>1</v>
      </c>
      <c r="C10">
        <f ca="1">IFERROR(__xludf.DUMMYFUNCTION("COUNTA(IFERROR(filter('Réponses au formulaire 1'!F:F,'Réponses au formulaire 1'!F:F=A10)))"),1)</f>
        <v>1</v>
      </c>
      <c r="D10" t="str">
        <f t="shared" ca="1" si="0"/>
        <v/>
      </c>
      <c r="H10" s="4" t="s">
        <v>476</v>
      </c>
      <c r="I10" s="4" t="s">
        <v>477</v>
      </c>
      <c r="J10" t="str">
        <f t="shared" si="1"/>
        <v>CHIRON PAOLO</v>
      </c>
    </row>
    <row r="11" spans="1:10" x14ac:dyDescent="0.25">
      <c r="A11" t="s">
        <v>77</v>
      </c>
      <c r="B11" s="1">
        <v>1</v>
      </c>
      <c r="C11">
        <f ca="1">IFERROR(__xludf.DUMMYFUNCTION("COUNTA(IFERROR(filter('Réponses au formulaire 1'!F:F,'Réponses au formulaire 1'!F:F=A11)))"),1)</f>
        <v>1</v>
      </c>
      <c r="D11" t="str">
        <f t="shared" ca="1" si="0"/>
        <v/>
      </c>
      <c r="H11" s="5" t="s">
        <v>478</v>
      </c>
      <c r="I11" s="5" t="s">
        <v>479</v>
      </c>
      <c r="J11" t="str">
        <f t="shared" si="1"/>
        <v>CORRE JEANNETTE</v>
      </c>
    </row>
    <row r="12" spans="1:10" x14ac:dyDescent="0.25">
      <c r="A12" t="s">
        <v>19</v>
      </c>
      <c r="B12" s="1">
        <v>1</v>
      </c>
      <c r="C12">
        <f ca="1">IFERROR(__xludf.DUMMYFUNCTION("COUNTA(IFERROR(filter('Réponses au formulaire 1'!F:F,'Réponses au formulaire 1'!F:F=A12)))"),1)</f>
        <v>1</v>
      </c>
      <c r="D12" t="str">
        <f t="shared" ca="1" si="0"/>
        <v/>
      </c>
      <c r="H12" s="4" t="s">
        <v>480</v>
      </c>
      <c r="I12" s="4" t="s">
        <v>481</v>
      </c>
      <c r="J12" t="str">
        <f t="shared" si="1"/>
        <v>DA CRUZ SHANA</v>
      </c>
    </row>
    <row r="13" spans="1:10" x14ac:dyDescent="0.25">
      <c r="A13" t="s">
        <v>39</v>
      </c>
      <c r="B13" s="1">
        <v>1</v>
      </c>
      <c r="C13">
        <f ca="1">IFERROR(__xludf.DUMMYFUNCTION("COUNTA(IFERROR(filter('Réponses au formulaire 1'!F:F,'Réponses au formulaire 1'!F:F=A13)))"),1)</f>
        <v>1</v>
      </c>
      <c r="D13" t="str">
        <f t="shared" ca="1" si="0"/>
        <v/>
      </c>
      <c r="H13" s="5" t="s">
        <v>482</v>
      </c>
      <c r="I13" s="5" t="s">
        <v>483</v>
      </c>
      <c r="J13" t="str">
        <f t="shared" si="1"/>
        <v>DENIEL CLEMENCE</v>
      </c>
    </row>
    <row r="14" spans="1:10" x14ac:dyDescent="0.25">
      <c r="A14" t="s">
        <v>132</v>
      </c>
      <c r="B14" s="1">
        <v>1</v>
      </c>
      <c r="C14">
        <f ca="1">IFERROR(__xludf.DUMMYFUNCTION("COUNTA(IFERROR(filter('Réponses au formulaire 1'!F:F,'Réponses au formulaire 1'!F:F=A14)))"),1)</f>
        <v>1</v>
      </c>
      <c r="D14" t="str">
        <f t="shared" ca="1" si="0"/>
        <v/>
      </c>
      <c r="H14" s="4" t="s">
        <v>484</v>
      </c>
      <c r="I14" s="4" t="s">
        <v>485</v>
      </c>
      <c r="J14" t="str">
        <f t="shared" si="1"/>
        <v>DIAS GOMES FABIO</v>
      </c>
    </row>
    <row r="15" spans="1:10" x14ac:dyDescent="0.25">
      <c r="A15" t="s">
        <v>99</v>
      </c>
      <c r="B15" s="1">
        <v>1</v>
      </c>
      <c r="C15">
        <f ca="1">IFERROR(__xludf.DUMMYFUNCTION("COUNTA(IFERROR(filter('Réponses au formulaire 1'!F:F,'Réponses au formulaire 1'!F:F=A15)))"),1)</f>
        <v>1</v>
      </c>
      <c r="D15" t="str">
        <f t="shared" ca="1" si="0"/>
        <v/>
      </c>
      <c r="H15" s="5" t="s">
        <v>486</v>
      </c>
      <c r="I15" s="5" t="s">
        <v>424</v>
      </c>
      <c r="J15" t="str">
        <f t="shared" si="1"/>
        <v>FOURN LOANE</v>
      </c>
    </row>
    <row r="16" spans="1:10" x14ac:dyDescent="0.25">
      <c r="A16" t="s">
        <v>487</v>
      </c>
      <c r="B16" s="1">
        <v>1</v>
      </c>
      <c r="C16">
        <f ca="1">IFERROR(__xludf.DUMMYFUNCTION("COUNTA(IFERROR(filter('Réponses au formulaire 1'!F:F,'Réponses au formulaire 1'!F:F=A16)))"),0)</f>
        <v>0</v>
      </c>
      <c r="D16" t="str">
        <f t="shared" ca="1" si="0"/>
        <v>GAUBERT MAXIME</v>
      </c>
      <c r="H16" s="4" t="s">
        <v>488</v>
      </c>
      <c r="I16" s="4" t="s">
        <v>489</v>
      </c>
      <c r="J16" t="str">
        <f t="shared" si="1"/>
        <v>GAUBERT MAXIME</v>
      </c>
    </row>
    <row r="17" spans="1:10" x14ac:dyDescent="0.25">
      <c r="A17" t="s">
        <v>219</v>
      </c>
      <c r="B17" s="1">
        <v>1</v>
      </c>
      <c r="C17">
        <f ca="1">IFERROR(__xludf.DUMMYFUNCTION("COUNTA(IFERROR(filter('Réponses au formulaire 1'!F:F,'Réponses au formulaire 1'!F:F=A17)))"),2)</f>
        <v>2</v>
      </c>
      <c r="D17" t="str">
        <f t="shared" ca="1" si="0"/>
        <v/>
      </c>
      <c r="H17" s="5" t="s">
        <v>490</v>
      </c>
      <c r="I17" s="5" t="s">
        <v>491</v>
      </c>
      <c r="J17" t="str">
        <f t="shared" si="1"/>
        <v>GOACHET CÉLIA</v>
      </c>
    </row>
    <row r="18" spans="1:10" x14ac:dyDescent="0.25">
      <c r="A18" t="s">
        <v>217</v>
      </c>
      <c r="B18" s="1">
        <v>1</v>
      </c>
      <c r="C18">
        <f ca="1">IFERROR(__xludf.DUMMYFUNCTION("COUNTA(IFERROR(filter('Réponses au formulaire 1'!F:F,'Réponses au formulaire 1'!F:F=A18)))"),1)</f>
        <v>1</v>
      </c>
      <c r="D18" t="str">
        <f t="shared" ca="1" si="0"/>
        <v/>
      </c>
      <c r="H18" s="4" t="s">
        <v>361</v>
      </c>
      <c r="I18" s="4" t="s">
        <v>492</v>
      </c>
      <c r="J18" t="str">
        <f t="shared" si="1"/>
        <v>GOURMELON GABIN</v>
      </c>
    </row>
    <row r="19" spans="1:10" x14ac:dyDescent="0.25">
      <c r="A19" t="s">
        <v>159</v>
      </c>
      <c r="B19" s="1">
        <v>1</v>
      </c>
      <c r="C19">
        <f ca="1">IFERROR(__xludf.DUMMYFUNCTION("COUNTA(IFERROR(filter('Réponses au formulaire 1'!F:F,'Réponses au formulaire 1'!F:F=A19)))"),1)</f>
        <v>1</v>
      </c>
      <c r="D19" t="str">
        <f t="shared" ca="1" si="0"/>
        <v/>
      </c>
      <c r="H19" s="5" t="s">
        <v>493</v>
      </c>
      <c r="I19" s="5" t="s">
        <v>494</v>
      </c>
      <c r="J19" t="str">
        <f t="shared" si="1"/>
        <v>GREZEL NATHAN</v>
      </c>
    </row>
    <row r="20" spans="1:10" x14ac:dyDescent="0.25">
      <c r="A20" t="s">
        <v>205</v>
      </c>
      <c r="B20" s="1">
        <v>1</v>
      </c>
      <c r="C20">
        <f ca="1">IFERROR(__xludf.DUMMYFUNCTION("COUNTA(IFERROR(filter('Réponses au formulaire 1'!F:F,'Réponses au formulaire 1'!F:F=A20)))"),1)</f>
        <v>1</v>
      </c>
      <c r="D20" t="str">
        <f t="shared" ca="1" si="0"/>
        <v/>
      </c>
      <c r="H20" s="4" t="s">
        <v>495</v>
      </c>
      <c r="I20" s="4" t="s">
        <v>472</v>
      </c>
      <c r="J20" t="str">
        <f t="shared" si="1"/>
        <v>GUÉGUEN PAUL</v>
      </c>
    </row>
    <row r="21" spans="1:10" x14ac:dyDescent="0.25">
      <c r="A21" t="s">
        <v>211</v>
      </c>
      <c r="B21" s="1">
        <v>1</v>
      </c>
      <c r="C21">
        <f ca="1">IFERROR(__xludf.DUMMYFUNCTION("COUNTA(IFERROR(filter('Réponses au formulaire 1'!F:F,'Réponses au formulaire 1'!F:F=A21)))"),1)</f>
        <v>1</v>
      </c>
      <c r="D21" t="str">
        <f t="shared" ca="1" si="0"/>
        <v/>
      </c>
      <c r="H21" s="5" t="s">
        <v>433</v>
      </c>
      <c r="I21" s="5" t="s">
        <v>496</v>
      </c>
      <c r="J21" t="str">
        <f t="shared" si="1"/>
        <v>GUILLOU STEVEN</v>
      </c>
    </row>
    <row r="22" spans="1:10" x14ac:dyDescent="0.25">
      <c r="A22" t="s">
        <v>213</v>
      </c>
      <c r="B22" s="1">
        <v>1</v>
      </c>
      <c r="C22">
        <f ca="1">IFERROR(__xludf.DUMMYFUNCTION("COUNTA(IFERROR(filter('Réponses au formulaire 1'!F:F,'Réponses au formulaire 1'!F:F=A22)))"),1)</f>
        <v>1</v>
      </c>
      <c r="D22" t="str">
        <f t="shared" ca="1" si="0"/>
        <v/>
      </c>
      <c r="H22" s="4" t="s">
        <v>497</v>
      </c>
      <c r="I22" s="4" t="s">
        <v>498</v>
      </c>
      <c r="J22" t="str">
        <f t="shared" si="1"/>
        <v>GUIVARCH LUCAS</v>
      </c>
    </row>
    <row r="23" spans="1:10" ht="15" x14ac:dyDescent="0.25">
      <c r="A23" t="s">
        <v>118</v>
      </c>
      <c r="B23" s="1">
        <v>1</v>
      </c>
      <c r="C23">
        <f ca="1">IFERROR(__xludf.DUMMYFUNCTION("COUNTA(IFERROR(filter('Réponses au formulaire 1'!F:F,'Réponses au formulaire 1'!F:F=A23)))"),1)</f>
        <v>1</v>
      </c>
      <c r="D23" t="str">
        <f t="shared" ca="1" si="0"/>
        <v/>
      </c>
      <c r="H23" s="3" t="s">
        <v>499</v>
      </c>
      <c r="I23" s="3" t="s">
        <v>500</v>
      </c>
      <c r="J23" t="str">
        <f t="shared" si="1"/>
        <v>HEIMBERGER MALO</v>
      </c>
    </row>
    <row r="24" spans="1:10" ht="15" x14ac:dyDescent="0.25">
      <c r="A24" t="s">
        <v>98</v>
      </c>
      <c r="B24" s="1">
        <v>1</v>
      </c>
      <c r="C24">
        <f ca="1">IFERROR(__xludf.DUMMYFUNCTION("COUNTA(IFERROR(filter('Réponses au formulaire 1'!F:F,'Réponses au formulaire 1'!F:F=A24)))"),2)</f>
        <v>2</v>
      </c>
      <c r="D24" t="str">
        <f t="shared" ca="1" si="0"/>
        <v/>
      </c>
      <c r="H24" s="5" t="s">
        <v>501</v>
      </c>
      <c r="I24" s="5" t="s">
        <v>502</v>
      </c>
      <c r="J24" t="str">
        <f t="shared" si="1"/>
        <v>LE CARS TANGUY</v>
      </c>
    </row>
    <row r="25" spans="1:10" ht="15" x14ac:dyDescent="0.25">
      <c r="A25" t="s">
        <v>137</v>
      </c>
      <c r="B25" s="1">
        <v>1</v>
      </c>
      <c r="C25">
        <f ca="1">IFERROR(__xludf.DUMMYFUNCTION("COUNTA(IFERROR(filter('Réponses au formulaire 1'!F:F,'Réponses au formulaire 1'!F:F=A25)))"),1)</f>
        <v>1</v>
      </c>
      <c r="D25" t="str">
        <f t="shared" ca="1" si="0"/>
        <v/>
      </c>
      <c r="H25" s="4" t="s">
        <v>503</v>
      </c>
      <c r="I25" s="4" t="s">
        <v>470</v>
      </c>
      <c r="J25" t="str">
        <f t="shared" si="1"/>
        <v>LE GOFF GABRIEL</v>
      </c>
    </row>
    <row r="26" spans="1:10" ht="15" x14ac:dyDescent="0.25">
      <c r="A26" t="s">
        <v>218</v>
      </c>
      <c r="B26" s="1">
        <v>1</v>
      </c>
      <c r="C26">
        <f ca="1">IFERROR(__xludf.DUMMYFUNCTION("COUNTA(IFERROR(filter('Réponses au formulaire 1'!F:F,'Réponses au formulaire 1'!F:F=A26)))"),1)</f>
        <v>1</v>
      </c>
      <c r="D26" t="str">
        <f t="shared" ca="1" si="0"/>
        <v/>
      </c>
      <c r="H26" s="5" t="s">
        <v>504</v>
      </c>
      <c r="I26" s="5" t="s">
        <v>505</v>
      </c>
      <c r="J26" t="str">
        <f t="shared" si="1"/>
        <v>LE ROUX CHARLENE</v>
      </c>
    </row>
    <row r="27" spans="1:10" ht="15" x14ac:dyDescent="0.25">
      <c r="A27" t="s">
        <v>140</v>
      </c>
      <c r="B27" s="1">
        <v>1</v>
      </c>
      <c r="C27">
        <f ca="1">IFERROR(__xludf.DUMMYFUNCTION("COUNTA(IFERROR(filter('Réponses au formulaire 1'!F:F,'Réponses au formulaire 1'!F:F=A27)))"),1)</f>
        <v>1</v>
      </c>
      <c r="D27" t="str">
        <f t="shared" ca="1" si="0"/>
        <v/>
      </c>
      <c r="H27" s="4" t="s">
        <v>504</v>
      </c>
      <c r="I27" s="4" t="s">
        <v>506</v>
      </c>
      <c r="J27" t="str">
        <f t="shared" si="1"/>
        <v>LE ROUX CHLOÉ</v>
      </c>
    </row>
    <row r="28" spans="1:10" ht="15" x14ac:dyDescent="0.25">
      <c r="A28" t="s">
        <v>131</v>
      </c>
      <c r="B28" s="1">
        <v>1</v>
      </c>
      <c r="C28">
        <f ca="1">IFERROR(__xludf.DUMMYFUNCTION("COUNTA(IFERROR(filter('Réponses au formulaire 1'!F:F,'Réponses au formulaire 1'!F:F=A28)))"),1)</f>
        <v>1</v>
      </c>
      <c r="D28" t="str">
        <f t="shared" ca="1" si="0"/>
        <v/>
      </c>
      <c r="H28" s="5" t="s">
        <v>507</v>
      </c>
      <c r="I28" s="5" t="s">
        <v>381</v>
      </c>
      <c r="J28" t="str">
        <f t="shared" si="1"/>
        <v>MARTINEZ VINCENT</v>
      </c>
    </row>
    <row r="29" spans="1:10" ht="15" x14ac:dyDescent="0.25">
      <c r="A29" t="s">
        <v>95</v>
      </c>
      <c r="B29" s="1">
        <v>1</v>
      </c>
      <c r="C29">
        <f ca="1">IFERROR(__xludf.DUMMYFUNCTION("COUNTA(IFERROR(filter('Réponses au formulaire 1'!F:F,'Réponses au formulaire 1'!F:F=A29)))"),1)</f>
        <v>1</v>
      </c>
      <c r="D29" t="str">
        <f t="shared" ca="1" si="0"/>
        <v/>
      </c>
      <c r="H29" s="4" t="s">
        <v>508</v>
      </c>
      <c r="I29" s="4" t="s">
        <v>509</v>
      </c>
      <c r="J29" t="str">
        <f t="shared" si="1"/>
        <v>MATTEOTTI TESS</v>
      </c>
    </row>
    <row r="30" spans="1:10" ht="15" x14ac:dyDescent="0.25">
      <c r="A30" t="s">
        <v>144</v>
      </c>
      <c r="B30" s="1">
        <v>1</v>
      </c>
      <c r="C30">
        <f ca="1">IFERROR(__xludf.DUMMYFUNCTION("COUNTA(IFERROR(filter('Réponses au formulaire 1'!F:F,'Réponses au formulaire 1'!F:F=A30)))"),1)</f>
        <v>1</v>
      </c>
      <c r="D30" t="str">
        <f t="shared" ca="1" si="0"/>
        <v/>
      </c>
      <c r="H30" s="5" t="s">
        <v>510</v>
      </c>
      <c r="I30" s="5" t="s">
        <v>270</v>
      </c>
      <c r="J30" t="str">
        <f t="shared" si="1"/>
        <v>MENOU YANIS</v>
      </c>
    </row>
    <row r="31" spans="1:10" ht="15" x14ac:dyDescent="0.25">
      <c r="A31" t="s">
        <v>97</v>
      </c>
      <c r="B31" s="1">
        <v>1</v>
      </c>
      <c r="D31" t="str">
        <f t="shared" si="0"/>
        <v>PARGNY ZOE</v>
      </c>
      <c r="H31" s="4"/>
      <c r="I31" s="4"/>
    </row>
    <row r="32" spans="1:10" ht="15" x14ac:dyDescent="0.25">
      <c r="A32" t="s">
        <v>54</v>
      </c>
      <c r="B32" s="1">
        <v>1</v>
      </c>
      <c r="C32">
        <f ca="1">IFERROR(__xludf.DUMMYFUNCTION("COUNTA(IFERROR(filter('Réponses au formulaire 1'!F:F,'Réponses au formulaire 1'!F:F=A32)))"),1)</f>
        <v>1</v>
      </c>
      <c r="D32" t="str">
        <f t="shared" ca="1" si="0"/>
        <v/>
      </c>
      <c r="H32" s="4" t="s">
        <v>511</v>
      </c>
      <c r="I32" s="4" t="s">
        <v>512</v>
      </c>
      <c r="J32" t="str">
        <f t="shared" ref="J32:J36" si="2">UPPER(H32&amp;" "&amp;I32)</f>
        <v>QUÉRÉ ANAÏS</v>
      </c>
    </row>
    <row r="33" spans="1:10" ht="15" x14ac:dyDescent="0.25">
      <c r="A33" t="s">
        <v>128</v>
      </c>
      <c r="B33" s="1">
        <v>1</v>
      </c>
      <c r="C33">
        <f ca="1">IFERROR(__xludf.DUMMYFUNCTION("COUNTA(IFERROR(filter('Réponses au formulaire 1'!F:F,'Réponses au formulaire 1'!F:F=A33)))"),1)</f>
        <v>1</v>
      </c>
      <c r="D33" t="str">
        <f t="shared" ca="1" si="0"/>
        <v/>
      </c>
      <c r="H33" s="5" t="s">
        <v>513</v>
      </c>
      <c r="I33" s="5" t="s">
        <v>514</v>
      </c>
      <c r="J33" t="str">
        <f t="shared" si="2"/>
        <v>RENAULT LILY</v>
      </c>
    </row>
    <row r="34" spans="1:10" ht="15" x14ac:dyDescent="0.25">
      <c r="A34" t="s">
        <v>162</v>
      </c>
      <c r="B34" s="1">
        <v>1</v>
      </c>
      <c r="C34">
        <f ca="1">IFERROR(__xludf.DUMMYFUNCTION("COUNTA(IFERROR(filter('Réponses au formulaire 1'!F:F,'Réponses au formulaire 1'!F:F=A34)))"),1)</f>
        <v>1</v>
      </c>
      <c r="D34" t="str">
        <f t="shared" ca="1" si="0"/>
        <v/>
      </c>
      <c r="H34" s="4" t="s">
        <v>515</v>
      </c>
      <c r="I34" s="4" t="s">
        <v>516</v>
      </c>
      <c r="J34" t="str">
        <f t="shared" si="2"/>
        <v>SOUBIGOU--BÉRÉ JEAN NAZEMSE GWENNAEL</v>
      </c>
    </row>
    <row r="35" spans="1:10" ht="15" x14ac:dyDescent="0.25">
      <c r="A35" t="s">
        <v>145</v>
      </c>
      <c r="B35" s="1">
        <v>1</v>
      </c>
      <c r="C35">
        <f ca="1">IFERROR(__xludf.DUMMYFUNCTION("COUNTA(IFERROR(filter('Réponses au formulaire 1'!F:F,'Réponses au formulaire 1'!F:F=A35)))"),1)</f>
        <v>1</v>
      </c>
      <c r="D35" t="str">
        <f t="shared" ca="1" si="0"/>
        <v/>
      </c>
      <c r="H35" s="5" t="s">
        <v>517</v>
      </c>
      <c r="I35" s="5" t="s">
        <v>518</v>
      </c>
      <c r="J35" t="str">
        <f t="shared" si="2"/>
        <v>SQUIBAN ENORA</v>
      </c>
    </row>
    <row r="36" spans="1:10" ht="15" x14ac:dyDescent="0.25">
      <c r="A36" t="s">
        <v>12</v>
      </c>
      <c r="B36" s="1">
        <v>1</v>
      </c>
      <c r="C36">
        <f ca="1">IFERROR(__xludf.DUMMYFUNCTION("COUNTA(IFERROR(filter('Réponses au formulaire 1'!F:F,'Réponses au formulaire 1'!F:F=A36)))"),1)</f>
        <v>1</v>
      </c>
      <c r="D36" t="str">
        <f t="shared" ca="1" si="0"/>
        <v/>
      </c>
      <c r="H36" s="4" t="s">
        <v>519</v>
      </c>
      <c r="I36" s="4" t="s">
        <v>520</v>
      </c>
      <c r="J36" t="str">
        <f t="shared" si="2"/>
        <v>TREDUNIT CHLOE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35"/>
  <sheetViews>
    <sheetView workbookViewId="0"/>
  </sheetViews>
  <sheetFormatPr baseColWidth="10" defaultColWidth="14.42578125" defaultRowHeight="15.75" customHeight="1" x14ac:dyDescent="0.2"/>
  <cols>
    <col min="1" max="1" width="23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18</v>
      </c>
      <c r="B2" s="1">
        <v>1</v>
      </c>
      <c r="C2">
        <f ca="1">IFERROR(__xludf.DUMMYFUNCTION("COUNTA(IFERROR(filter('Réponses au formulaire 1'!G:G,'Réponses au formulaire 1'!G:G=A2)))"),1)</f>
        <v>1</v>
      </c>
      <c r="D2" t="str">
        <f t="shared" ref="D2:D35" ca="1" si="0">IF(B2&gt;C2,A2,"")</f>
        <v/>
      </c>
      <c r="E2" t="str">
        <f ca="1">IFERROR(__xludf.DUMMYFUNCTION("filter(D2:D35,D2:D35&lt;&gt;"""")"),"#N/A")</f>
        <v>#N/A</v>
      </c>
      <c r="H2" s="3" t="s">
        <v>521</v>
      </c>
      <c r="I2" s="3" t="s">
        <v>522</v>
      </c>
      <c r="J2" t="str">
        <f t="shared" ref="J2:J35" si="1">UPPER(H2&amp;" "&amp;I2)</f>
        <v>BIPAN ALEXANDRA</v>
      </c>
    </row>
    <row r="3" spans="1:10" x14ac:dyDescent="0.25">
      <c r="A3" t="s">
        <v>151</v>
      </c>
      <c r="B3" s="1">
        <v>1</v>
      </c>
      <c r="C3">
        <f ca="1">IFERROR(__xludf.DUMMYFUNCTION("COUNTA(IFERROR(filter('Réponses au formulaire 1'!G:G,'Réponses au formulaire 1'!G:G=A3)))"),1)</f>
        <v>1</v>
      </c>
      <c r="D3" t="str">
        <f t="shared" ca="1" si="0"/>
        <v/>
      </c>
      <c r="H3" s="4" t="s">
        <v>523</v>
      </c>
      <c r="I3" s="4" t="s">
        <v>524</v>
      </c>
      <c r="J3" t="str">
        <f t="shared" si="1"/>
        <v>BRISSON JONAS</v>
      </c>
    </row>
    <row r="4" spans="1:10" x14ac:dyDescent="0.25">
      <c r="A4" t="s">
        <v>53</v>
      </c>
      <c r="B4" s="1">
        <v>1</v>
      </c>
      <c r="C4">
        <f ca="1">IFERROR(__xludf.DUMMYFUNCTION("COUNTA(IFERROR(filter('Réponses au formulaire 1'!G:G,'Réponses au formulaire 1'!G:G=A4)))"),1)</f>
        <v>1</v>
      </c>
      <c r="D4" t="str">
        <f t="shared" ca="1" si="0"/>
        <v/>
      </c>
      <c r="H4" s="3" t="s">
        <v>525</v>
      </c>
      <c r="I4" s="3" t="s">
        <v>526</v>
      </c>
      <c r="J4" t="str">
        <f t="shared" si="1"/>
        <v>CHARTRON KILLIAN</v>
      </c>
    </row>
    <row r="5" spans="1:10" x14ac:dyDescent="0.25">
      <c r="A5" t="s">
        <v>73</v>
      </c>
      <c r="B5" s="1">
        <v>1</v>
      </c>
      <c r="C5">
        <f ca="1">IFERROR(__xludf.DUMMYFUNCTION("COUNTA(IFERROR(filter('Réponses au formulaire 1'!G:G,'Réponses au formulaire 1'!G:G=A5)))"),1)</f>
        <v>1</v>
      </c>
      <c r="D5" t="str">
        <f t="shared" ca="1" si="0"/>
        <v/>
      </c>
      <c r="H5" s="4" t="s">
        <v>527</v>
      </c>
      <c r="I5" s="4" t="s">
        <v>528</v>
      </c>
      <c r="J5" t="str">
        <f t="shared" si="1"/>
        <v>COLLETER ZOÉ</v>
      </c>
    </row>
    <row r="6" spans="1:10" x14ac:dyDescent="0.25">
      <c r="A6" t="s">
        <v>163</v>
      </c>
      <c r="B6" s="1">
        <v>1</v>
      </c>
      <c r="C6">
        <f ca="1">IFERROR(__xludf.DUMMYFUNCTION("COUNTA(IFERROR(filter('Réponses au formulaire 1'!G:G,'Réponses au formulaire 1'!G:G=A6)))"),1)</f>
        <v>1</v>
      </c>
      <c r="D6" t="str">
        <f t="shared" ca="1" si="0"/>
        <v/>
      </c>
      <c r="H6" s="3" t="s">
        <v>529</v>
      </c>
      <c r="I6" s="3" t="s">
        <v>530</v>
      </c>
      <c r="J6" t="str">
        <f t="shared" si="1"/>
        <v>CREACHCADEC QUENTIN</v>
      </c>
    </row>
    <row r="7" spans="1:10" x14ac:dyDescent="0.25">
      <c r="A7" t="s">
        <v>141</v>
      </c>
      <c r="B7" s="1">
        <v>1</v>
      </c>
      <c r="C7">
        <f ca="1">IFERROR(__xludf.DUMMYFUNCTION("COUNTA(IFERROR(filter('Réponses au formulaire 1'!G:G,'Réponses au formulaire 1'!G:G=A7)))"),1)</f>
        <v>1</v>
      </c>
      <c r="D7" t="str">
        <f t="shared" ca="1" si="0"/>
        <v/>
      </c>
      <c r="H7" s="4" t="s">
        <v>531</v>
      </c>
      <c r="I7" s="4" t="s">
        <v>532</v>
      </c>
      <c r="J7" t="str">
        <f t="shared" si="1"/>
        <v>CRISTOFIS IONA</v>
      </c>
    </row>
    <row r="8" spans="1:10" x14ac:dyDescent="0.25">
      <c r="A8" t="s">
        <v>111</v>
      </c>
      <c r="B8" s="1">
        <v>1</v>
      </c>
      <c r="C8">
        <f ca="1">IFERROR(__xludf.DUMMYFUNCTION("COUNTA(IFERROR(filter('Réponses au formulaire 1'!G:G,'Réponses au formulaire 1'!G:G=A8)))"),1)</f>
        <v>1</v>
      </c>
      <c r="D8" t="str">
        <f t="shared" ca="1" si="0"/>
        <v/>
      </c>
      <c r="H8" s="3" t="s">
        <v>533</v>
      </c>
      <c r="I8" s="3" t="s">
        <v>534</v>
      </c>
      <c r="J8" t="str">
        <f t="shared" si="1"/>
        <v>DIOULOU JEZEQUEL JEAN</v>
      </c>
    </row>
    <row r="9" spans="1:10" x14ac:dyDescent="0.25">
      <c r="A9" t="s">
        <v>104</v>
      </c>
      <c r="B9" s="1">
        <v>1</v>
      </c>
      <c r="C9">
        <f ca="1">IFERROR(__xludf.DUMMYFUNCTION("COUNTA(IFERROR(filter('Réponses au formulaire 1'!G:G,'Réponses au formulaire 1'!G:G=A9)))"),1)</f>
        <v>1</v>
      </c>
      <c r="D9" t="str">
        <f t="shared" ca="1" si="0"/>
        <v/>
      </c>
      <c r="H9" s="4" t="s">
        <v>535</v>
      </c>
      <c r="I9" s="4" t="s">
        <v>536</v>
      </c>
      <c r="J9" t="str">
        <f t="shared" si="1"/>
        <v>DUBOSSE LAURENA</v>
      </c>
    </row>
    <row r="10" spans="1:10" x14ac:dyDescent="0.25">
      <c r="A10" t="s">
        <v>176</v>
      </c>
      <c r="B10" s="1">
        <v>1</v>
      </c>
      <c r="C10">
        <f ca="1">IFERROR(__xludf.DUMMYFUNCTION("COUNTA(IFERROR(filter('Réponses au formulaire 1'!G:G,'Réponses au formulaire 1'!G:G=A10)))"),2)</f>
        <v>2</v>
      </c>
      <c r="D10" t="str">
        <f t="shared" ca="1" si="0"/>
        <v/>
      </c>
      <c r="H10" s="3" t="s">
        <v>537</v>
      </c>
      <c r="I10" s="3" t="s">
        <v>538</v>
      </c>
      <c r="J10" t="str">
        <f t="shared" si="1"/>
        <v>DUVAL MÉLISSA</v>
      </c>
    </row>
    <row r="11" spans="1:10" x14ac:dyDescent="0.25">
      <c r="A11" t="s">
        <v>24</v>
      </c>
      <c r="B11" s="1">
        <v>1</v>
      </c>
      <c r="C11">
        <f ca="1">IFERROR(__xludf.DUMMYFUNCTION("COUNTA(IFERROR(filter('Réponses au formulaire 1'!G:G,'Réponses au formulaire 1'!G:G=A11)))"),1)</f>
        <v>1</v>
      </c>
      <c r="D11" t="str">
        <f t="shared" ca="1" si="0"/>
        <v/>
      </c>
      <c r="H11" s="4" t="s">
        <v>539</v>
      </c>
      <c r="I11" s="4" t="s">
        <v>540</v>
      </c>
      <c r="J11" t="str">
        <f t="shared" si="1"/>
        <v>FRANCISQUE CHRIS ELY</v>
      </c>
    </row>
    <row r="12" spans="1:10" x14ac:dyDescent="0.25">
      <c r="A12" t="s">
        <v>139</v>
      </c>
      <c r="B12" s="1">
        <v>1</v>
      </c>
      <c r="C12">
        <f ca="1">IFERROR(__xludf.DUMMYFUNCTION("COUNTA(IFERROR(filter('Réponses au formulaire 1'!G:G,'Réponses au formulaire 1'!G:G=A12)))"),1)</f>
        <v>1</v>
      </c>
      <c r="D12" t="str">
        <f t="shared" ca="1" si="0"/>
        <v/>
      </c>
      <c r="H12" s="3" t="s">
        <v>541</v>
      </c>
      <c r="I12" s="3" t="s">
        <v>542</v>
      </c>
      <c r="J12" t="str">
        <f t="shared" si="1"/>
        <v>GLAIS ELLYNN</v>
      </c>
    </row>
    <row r="13" spans="1:10" x14ac:dyDescent="0.25">
      <c r="A13" t="s">
        <v>84</v>
      </c>
      <c r="B13" s="1">
        <v>1</v>
      </c>
      <c r="C13">
        <f ca="1">IFERROR(__xludf.DUMMYFUNCTION("COUNTA(IFERROR(filter('Réponses au formulaire 1'!G:G,'Réponses au formulaire 1'!G:G=A13)))"),1)</f>
        <v>1</v>
      </c>
      <c r="D13" t="str">
        <f t="shared" ca="1" si="0"/>
        <v/>
      </c>
      <c r="H13" s="4" t="s">
        <v>543</v>
      </c>
      <c r="I13" s="4" t="s">
        <v>530</v>
      </c>
      <c r="J13" t="str">
        <f t="shared" si="1"/>
        <v>GOURMELON QUENTIN</v>
      </c>
    </row>
    <row r="14" spans="1:10" x14ac:dyDescent="0.25">
      <c r="A14" t="s">
        <v>17</v>
      </c>
      <c r="B14" s="1">
        <v>1</v>
      </c>
      <c r="C14">
        <f ca="1">IFERROR(__xludf.DUMMYFUNCTION("COUNTA(IFERROR(filter('Réponses au formulaire 1'!G:G,'Réponses au formulaire 1'!G:G=A14)))"),1)</f>
        <v>1</v>
      </c>
      <c r="D14" t="str">
        <f t="shared" ca="1" si="0"/>
        <v/>
      </c>
      <c r="H14" s="3" t="s">
        <v>544</v>
      </c>
      <c r="I14" s="3" t="s">
        <v>545</v>
      </c>
      <c r="J14" t="str">
        <f t="shared" si="1"/>
        <v>GUILLON THOMAS</v>
      </c>
    </row>
    <row r="15" spans="1:10" x14ac:dyDescent="0.25">
      <c r="A15" t="s">
        <v>34</v>
      </c>
      <c r="B15" s="1">
        <v>1</v>
      </c>
      <c r="C15">
        <f ca="1">IFERROR(__xludf.DUMMYFUNCTION("COUNTA(IFERROR(filter('Réponses au formulaire 1'!G:G,'Réponses au formulaire 1'!G:G=A15)))"),1)</f>
        <v>1</v>
      </c>
      <c r="D15" t="str">
        <f t="shared" ca="1" si="0"/>
        <v/>
      </c>
      <c r="H15" s="4" t="s">
        <v>546</v>
      </c>
      <c r="I15" s="4" t="s">
        <v>547</v>
      </c>
      <c r="J15" t="str">
        <f t="shared" si="1"/>
        <v>GUYOT YOHANN</v>
      </c>
    </row>
    <row r="16" spans="1:10" x14ac:dyDescent="0.25">
      <c r="A16" t="s">
        <v>207</v>
      </c>
      <c r="B16" s="1">
        <v>1</v>
      </c>
      <c r="C16">
        <f ca="1">IFERROR(__xludf.DUMMYFUNCTION("COUNTA(IFERROR(filter('Réponses au formulaire 1'!G:G,'Réponses au formulaire 1'!G:G=A16)))"),1)</f>
        <v>1</v>
      </c>
      <c r="D16" t="str">
        <f t="shared" ca="1" si="0"/>
        <v/>
      </c>
      <c r="H16" s="3" t="s">
        <v>548</v>
      </c>
      <c r="I16" s="3" t="s">
        <v>549</v>
      </c>
      <c r="J16" t="str">
        <f t="shared" si="1"/>
        <v>HINTON TOM</v>
      </c>
    </row>
    <row r="17" spans="1:10" x14ac:dyDescent="0.25">
      <c r="A17" t="s">
        <v>91</v>
      </c>
      <c r="B17" s="1">
        <v>1</v>
      </c>
      <c r="C17">
        <f ca="1">IFERROR(__xludf.DUMMYFUNCTION("COUNTA(IFERROR(filter('Réponses au formulaire 1'!G:G,'Réponses au formulaire 1'!G:G=A17)))"),1)</f>
        <v>1</v>
      </c>
      <c r="D17" t="str">
        <f t="shared" ca="1" si="0"/>
        <v/>
      </c>
      <c r="H17" s="4" t="s">
        <v>550</v>
      </c>
      <c r="I17" s="4" t="s">
        <v>551</v>
      </c>
      <c r="J17" t="str">
        <f t="shared" si="1"/>
        <v>HURIER THÉO</v>
      </c>
    </row>
    <row r="18" spans="1:10" x14ac:dyDescent="0.25">
      <c r="A18" t="s">
        <v>76</v>
      </c>
      <c r="B18" s="1">
        <v>1</v>
      </c>
      <c r="C18">
        <f ca="1">IFERROR(__xludf.DUMMYFUNCTION("COUNTA(IFERROR(filter('Réponses au formulaire 1'!G:G,'Réponses au formulaire 1'!G:G=A18)))"),1)</f>
        <v>1</v>
      </c>
      <c r="D18" t="str">
        <f t="shared" ca="1" si="0"/>
        <v/>
      </c>
      <c r="H18" s="3" t="s">
        <v>552</v>
      </c>
      <c r="I18" s="3" t="s">
        <v>553</v>
      </c>
      <c r="J18" t="str">
        <f t="shared" si="1"/>
        <v>INIZAN LISA</v>
      </c>
    </row>
    <row r="19" spans="1:10" x14ac:dyDescent="0.25">
      <c r="A19" t="s">
        <v>146</v>
      </c>
      <c r="B19" s="1">
        <v>1</v>
      </c>
      <c r="C19">
        <f ca="1">IFERROR(__xludf.DUMMYFUNCTION("COUNTA(IFERROR(filter('Réponses au formulaire 1'!G:G,'Réponses au formulaire 1'!G:G=A19)))"),1)</f>
        <v>1</v>
      </c>
      <c r="D19" t="str">
        <f t="shared" ca="1" si="0"/>
        <v/>
      </c>
      <c r="H19" s="4" t="s">
        <v>554</v>
      </c>
      <c r="I19" s="4" t="s">
        <v>555</v>
      </c>
      <c r="J19" t="str">
        <f t="shared" si="1"/>
        <v>JACOB LAURE</v>
      </c>
    </row>
    <row r="20" spans="1:10" x14ac:dyDescent="0.25">
      <c r="A20" t="s">
        <v>113</v>
      </c>
      <c r="B20" s="1">
        <v>1</v>
      </c>
      <c r="C20">
        <f ca="1">IFERROR(__xludf.DUMMYFUNCTION("COUNTA(IFERROR(filter('Réponses au formulaire 1'!G:G,'Réponses au formulaire 1'!G:G=A20)))"),2)</f>
        <v>2</v>
      </c>
      <c r="D20" t="str">
        <f t="shared" ca="1" si="0"/>
        <v/>
      </c>
      <c r="H20" s="3" t="s">
        <v>556</v>
      </c>
      <c r="I20" s="3" t="s">
        <v>329</v>
      </c>
      <c r="J20" t="str">
        <f t="shared" si="1"/>
        <v>JAFFRE LUCAS</v>
      </c>
    </row>
    <row r="21" spans="1:10" x14ac:dyDescent="0.25">
      <c r="A21" s="1" t="s">
        <v>149</v>
      </c>
      <c r="B21" s="1">
        <v>1</v>
      </c>
      <c r="C21">
        <f ca="1">IFERROR(__xludf.DUMMYFUNCTION("COUNTA(IFERROR(filter('Réponses au formulaire 1'!G:G,'Réponses au formulaire 1'!G:G=A21)))"),1)</f>
        <v>1</v>
      </c>
      <c r="D21" t="str">
        <f t="shared" ca="1" si="0"/>
        <v/>
      </c>
      <c r="H21" s="4" t="s">
        <v>557</v>
      </c>
      <c r="I21" s="4" t="s">
        <v>558</v>
      </c>
      <c r="J21" t="str">
        <f t="shared" si="1"/>
        <v>JAIN MARC</v>
      </c>
    </row>
    <row r="22" spans="1:10" x14ac:dyDescent="0.25">
      <c r="A22" t="s">
        <v>117</v>
      </c>
      <c r="B22" s="1">
        <v>1</v>
      </c>
      <c r="C22">
        <f ca="1">IFERROR(__xludf.DUMMYFUNCTION("COUNTA(IFERROR(filter('Réponses au formulaire 1'!G:G,'Réponses au formulaire 1'!G:G=A22)))"),1)</f>
        <v>1</v>
      </c>
      <c r="D22" t="str">
        <f t="shared" ca="1" si="0"/>
        <v/>
      </c>
      <c r="H22" s="3" t="s">
        <v>559</v>
      </c>
      <c r="I22" s="3" t="s">
        <v>329</v>
      </c>
      <c r="J22" t="str">
        <f t="shared" si="1"/>
        <v>KERAGARAVAT-REINHARD LUCAS</v>
      </c>
    </row>
    <row r="23" spans="1:10" ht="15" x14ac:dyDescent="0.25">
      <c r="A23" t="s">
        <v>66</v>
      </c>
      <c r="B23" s="1">
        <v>1</v>
      </c>
      <c r="C23">
        <f ca="1">IFERROR(__xludf.DUMMYFUNCTION("COUNTA(IFERROR(filter('Réponses au formulaire 1'!G:G,'Réponses au formulaire 1'!G:G=A23)))"),1)</f>
        <v>1</v>
      </c>
      <c r="D23" t="str">
        <f t="shared" ca="1" si="0"/>
        <v/>
      </c>
      <c r="H23" s="4" t="s">
        <v>560</v>
      </c>
      <c r="I23" s="4" t="s">
        <v>561</v>
      </c>
      <c r="J23" t="str">
        <f t="shared" si="1"/>
        <v>KERGARAVAT-REINHARD THÉO</v>
      </c>
    </row>
    <row r="24" spans="1:10" ht="15" x14ac:dyDescent="0.25">
      <c r="A24" t="s">
        <v>9</v>
      </c>
      <c r="B24" s="1">
        <v>1</v>
      </c>
      <c r="C24">
        <f ca="1">IFERROR(__xludf.DUMMYFUNCTION("COUNTA(IFERROR(filter('Réponses au formulaire 1'!G:G,'Réponses au formulaire 1'!G:G=A24)))"),1)</f>
        <v>1</v>
      </c>
      <c r="D24" t="str">
        <f t="shared" ca="1" si="0"/>
        <v/>
      </c>
      <c r="H24" s="3" t="s">
        <v>562</v>
      </c>
      <c r="I24" s="3" t="s">
        <v>563</v>
      </c>
      <c r="J24" t="str">
        <f t="shared" si="1"/>
        <v>KERMARREC ENZO</v>
      </c>
    </row>
    <row r="25" spans="1:10" ht="15" x14ac:dyDescent="0.25">
      <c r="A25" t="s">
        <v>83</v>
      </c>
      <c r="B25" s="1">
        <v>1</v>
      </c>
      <c r="C25">
        <f ca="1">IFERROR(__xludf.DUMMYFUNCTION("COUNTA(IFERROR(filter('Réponses au formulaire 1'!G:G,'Réponses au formulaire 1'!G:G=A25)))"),1)</f>
        <v>1</v>
      </c>
      <c r="D25" t="str">
        <f t="shared" ca="1" si="0"/>
        <v/>
      </c>
      <c r="H25" s="4" t="s">
        <v>564</v>
      </c>
      <c r="I25" s="4" t="s">
        <v>565</v>
      </c>
      <c r="J25" t="str">
        <f t="shared" si="1"/>
        <v>KERNEIS JULIETTE</v>
      </c>
    </row>
    <row r="26" spans="1:10" ht="15" x14ac:dyDescent="0.25">
      <c r="A26" t="s">
        <v>178</v>
      </c>
      <c r="B26" s="1">
        <v>1</v>
      </c>
      <c r="C26">
        <f ca="1">IFERROR(__xludf.DUMMYFUNCTION("COUNTA(IFERROR(filter('Réponses au formulaire 1'!G:G,'Réponses au formulaire 1'!G:G=A26)))"),2)</f>
        <v>2</v>
      </c>
      <c r="D26" t="str">
        <f t="shared" ca="1" si="0"/>
        <v/>
      </c>
      <c r="H26" s="3" t="s">
        <v>566</v>
      </c>
      <c r="I26" s="3" t="s">
        <v>567</v>
      </c>
      <c r="J26" t="str">
        <f t="shared" si="1"/>
        <v>LE BOHEC MATTHIEU</v>
      </c>
    </row>
    <row r="27" spans="1:10" ht="15" x14ac:dyDescent="0.25">
      <c r="A27" t="s">
        <v>170</v>
      </c>
      <c r="B27" s="1">
        <v>1</v>
      </c>
      <c r="C27">
        <f ca="1">IFERROR(__xludf.DUMMYFUNCTION("COUNTA(IFERROR(filter('Réponses au formulaire 1'!G:G,'Réponses au formulaire 1'!G:G=A27)))"),1)</f>
        <v>1</v>
      </c>
      <c r="D27" t="str">
        <f t="shared" ca="1" si="0"/>
        <v/>
      </c>
      <c r="H27" s="4" t="s">
        <v>568</v>
      </c>
      <c r="I27" s="4" t="s">
        <v>569</v>
      </c>
      <c r="J27" t="str">
        <f t="shared" si="1"/>
        <v>LE GALL MATTÉO</v>
      </c>
    </row>
    <row r="28" spans="1:10" ht="15" x14ac:dyDescent="0.25">
      <c r="A28" t="s">
        <v>183</v>
      </c>
      <c r="B28" s="1">
        <v>1</v>
      </c>
      <c r="C28">
        <f ca="1">IFERROR(__xludf.DUMMYFUNCTION("COUNTA(IFERROR(filter('Réponses au formulaire 1'!G:G,'Réponses au formulaire 1'!G:G=A28)))"),1)</f>
        <v>1</v>
      </c>
      <c r="D28" t="str">
        <f t="shared" ca="1" si="0"/>
        <v/>
      </c>
      <c r="H28" s="3" t="s">
        <v>503</v>
      </c>
      <c r="I28" s="3" t="s">
        <v>570</v>
      </c>
      <c r="J28" t="str">
        <f t="shared" si="1"/>
        <v>LE GOFF CLARA</v>
      </c>
    </row>
    <row r="29" spans="1:10" ht="15" x14ac:dyDescent="0.25">
      <c r="A29" t="s">
        <v>64</v>
      </c>
      <c r="B29" s="1">
        <v>1</v>
      </c>
      <c r="C29">
        <f ca="1">IFERROR(__xludf.DUMMYFUNCTION("COUNTA(IFERROR(filter('Réponses au formulaire 1'!G:G,'Réponses au formulaire 1'!G:G=A29)))"),1)</f>
        <v>1</v>
      </c>
      <c r="D29" t="str">
        <f t="shared" ca="1" si="0"/>
        <v/>
      </c>
      <c r="H29" s="4" t="s">
        <v>571</v>
      </c>
      <c r="I29" s="4" t="s">
        <v>572</v>
      </c>
      <c r="J29" t="str">
        <f t="shared" si="1"/>
        <v>LORINQUER NORA</v>
      </c>
    </row>
    <row r="30" spans="1:10" ht="15" x14ac:dyDescent="0.25">
      <c r="A30" t="s">
        <v>226</v>
      </c>
      <c r="B30" s="1">
        <v>1</v>
      </c>
      <c r="C30">
        <f ca="1">IFERROR(__xludf.DUMMYFUNCTION("COUNTA(IFERROR(filter('Réponses au formulaire 1'!G:G,'Réponses au formulaire 1'!G:G=A30)))"),1)</f>
        <v>1</v>
      </c>
      <c r="D30" t="str">
        <f t="shared" ca="1" si="0"/>
        <v/>
      </c>
      <c r="H30" s="3" t="s">
        <v>573</v>
      </c>
      <c r="I30" s="3" t="s">
        <v>300</v>
      </c>
      <c r="J30" t="str">
        <f t="shared" si="1"/>
        <v>MENARD MARTIN</v>
      </c>
    </row>
    <row r="31" spans="1:10" ht="15" x14ac:dyDescent="0.25">
      <c r="A31" t="s">
        <v>181</v>
      </c>
      <c r="B31" s="1">
        <v>1</v>
      </c>
      <c r="C31">
        <f ca="1">IFERROR(__xludf.DUMMYFUNCTION("COUNTA(IFERROR(filter('Réponses au formulaire 1'!G:G,'Réponses au formulaire 1'!G:G=A31)))"),1)</f>
        <v>1</v>
      </c>
      <c r="D31" t="str">
        <f t="shared" ca="1" si="0"/>
        <v/>
      </c>
      <c r="H31" s="3" t="s">
        <v>376</v>
      </c>
      <c r="I31" s="3" t="s">
        <v>574</v>
      </c>
      <c r="J31" t="str">
        <f t="shared" si="1"/>
        <v>LE ROUX LILIAN</v>
      </c>
    </row>
    <row r="32" spans="1:10" ht="15" x14ac:dyDescent="0.25">
      <c r="A32" t="s">
        <v>72</v>
      </c>
      <c r="B32" s="1">
        <v>1</v>
      </c>
      <c r="C32">
        <f ca="1">IFERROR(__xludf.DUMMYFUNCTION("COUNTA(IFERROR(filter('Réponses au formulaire 1'!G:G,'Réponses au formulaire 1'!G:G=A32)))"),1)</f>
        <v>1</v>
      </c>
      <c r="D32" t="str">
        <f t="shared" ca="1" si="0"/>
        <v/>
      </c>
      <c r="H32" s="4" t="s">
        <v>511</v>
      </c>
      <c r="I32" s="4" t="s">
        <v>575</v>
      </c>
      <c r="J32" t="str">
        <f t="shared" si="1"/>
        <v>QUÉRÉ LUCIE</v>
      </c>
    </row>
    <row r="33" spans="1:10" ht="15" x14ac:dyDescent="0.25">
      <c r="A33" t="s">
        <v>177</v>
      </c>
      <c r="B33" s="1">
        <v>1</v>
      </c>
      <c r="C33">
        <f ca="1">IFERROR(__xludf.DUMMYFUNCTION("COUNTA(IFERROR(filter('Réponses au formulaire 1'!G:G,'Réponses au formulaire 1'!G:G=A33)))"),1)</f>
        <v>1</v>
      </c>
      <c r="D33" t="str">
        <f t="shared" ca="1" si="0"/>
        <v/>
      </c>
      <c r="H33" s="3" t="s">
        <v>576</v>
      </c>
      <c r="I33" s="3" t="s">
        <v>577</v>
      </c>
      <c r="J33" t="str">
        <f t="shared" si="1"/>
        <v>SCHOLTÈS EWEN</v>
      </c>
    </row>
    <row r="34" spans="1:10" ht="15" x14ac:dyDescent="0.25">
      <c r="A34" t="s">
        <v>179</v>
      </c>
      <c r="B34" s="1">
        <v>1</v>
      </c>
      <c r="C34">
        <f ca="1">IFERROR(__xludf.DUMMYFUNCTION("COUNTA(IFERROR(filter('Réponses au formulaire 1'!G:G,'Réponses au formulaire 1'!G:G=A34)))"),1)</f>
        <v>1</v>
      </c>
      <c r="D34" t="str">
        <f t="shared" ca="1" si="0"/>
        <v/>
      </c>
      <c r="H34" s="4" t="s">
        <v>578</v>
      </c>
      <c r="I34" s="4" t="s">
        <v>579</v>
      </c>
      <c r="J34" t="str">
        <f t="shared" si="1"/>
        <v>SENECHAL ELIJAH</v>
      </c>
    </row>
    <row r="35" spans="1:10" ht="15" x14ac:dyDescent="0.25">
      <c r="A35" s="1" t="s">
        <v>173</v>
      </c>
      <c r="B35" s="1">
        <v>1</v>
      </c>
      <c r="C35">
        <f ca="1">IFERROR(__xludf.DUMMYFUNCTION("COUNTA(IFERROR(filter('Réponses au formulaire 1'!G:G,'Réponses au formulaire 1'!G:G=A35)))"),1)</f>
        <v>1</v>
      </c>
      <c r="D35" t="str">
        <f t="shared" ca="1" si="0"/>
        <v/>
      </c>
      <c r="H35" s="3" t="s">
        <v>580</v>
      </c>
      <c r="I35" s="3" t="s">
        <v>581</v>
      </c>
      <c r="J35" t="str">
        <f t="shared" si="1"/>
        <v>SIMIER GAÏDIG (MONIQUE MARIE)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36"/>
  <sheetViews>
    <sheetView workbookViewId="0"/>
  </sheetViews>
  <sheetFormatPr baseColWidth="10" defaultColWidth="14.42578125" defaultRowHeight="15.75" customHeight="1" x14ac:dyDescent="0.2"/>
  <cols>
    <col min="1" max="1" width="18.85546875" customWidth="1"/>
  </cols>
  <sheetData>
    <row r="1" spans="1:10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10" x14ac:dyDescent="0.25">
      <c r="A2" t="s">
        <v>29</v>
      </c>
      <c r="B2" s="1">
        <v>1</v>
      </c>
      <c r="C2">
        <f ca="1">IFERROR(__xludf.DUMMYFUNCTION("COUNTA(IFERROR(filter('Réponses au formulaire 1'!H:H,'Réponses au formulaire 1'!H:H=A2)))"),1)</f>
        <v>1</v>
      </c>
      <c r="D2" t="str">
        <f t="shared" ref="D2:D36" ca="1" si="0">IF(B2&gt;C2,A2,"")</f>
        <v/>
      </c>
      <c r="E2" t="str">
        <f ca="1">IFERROR(__xludf.DUMMYFUNCTION("filter(D2:D37,D2:D37&lt;&gt;"""")"),"FIX MARIE-LOU")</f>
        <v>FIX MARIE-LOU</v>
      </c>
      <c r="H2" s="3" t="s">
        <v>582</v>
      </c>
      <c r="I2" s="3" t="s">
        <v>583</v>
      </c>
      <c r="J2" t="str">
        <f t="shared" ref="J2:J30" si="1">UPPER(H2&amp;" "&amp;I2)</f>
        <v>BENANTAR WAKIL</v>
      </c>
    </row>
    <row r="3" spans="1:10" x14ac:dyDescent="0.25">
      <c r="A3" t="s">
        <v>172</v>
      </c>
      <c r="B3" s="1">
        <v>1</v>
      </c>
      <c r="C3">
        <f ca="1">IFERROR(__xludf.DUMMYFUNCTION("COUNTA(IFERROR(filter('Réponses au formulaire 1'!H:H,'Réponses au formulaire 1'!H:H=A3)))"),1)</f>
        <v>1</v>
      </c>
      <c r="D3" t="str">
        <f t="shared" ca="1" si="0"/>
        <v/>
      </c>
      <c r="E3" t="str">
        <f ca="1">IFERROR(__xludf.DUMMYFUNCTION("""COMPUTED_VALUE"""),"FOLL KLERVI")</f>
        <v>FOLL KLERVI</v>
      </c>
      <c r="H3" s="4" t="s">
        <v>265</v>
      </c>
      <c r="I3" s="4" t="s">
        <v>584</v>
      </c>
      <c r="J3" t="str">
        <f t="shared" si="1"/>
        <v>BERTHOULOUX NOEMIE</v>
      </c>
    </row>
    <row r="4" spans="1:10" x14ac:dyDescent="0.25">
      <c r="A4" t="s">
        <v>165</v>
      </c>
      <c r="B4" s="1">
        <v>1</v>
      </c>
      <c r="C4">
        <f ca="1">IFERROR(__xludf.DUMMYFUNCTION("COUNTA(IFERROR(filter('Réponses au formulaire 1'!H:H,'Réponses au formulaire 1'!H:H=A4)))"),1)</f>
        <v>1</v>
      </c>
      <c r="D4" t="str">
        <f t="shared" ca="1" si="0"/>
        <v/>
      </c>
      <c r="E4" t="str">
        <f ca="1">IFERROR(__xludf.DUMMYFUNCTION("""COMPUTED_VALUE"""),"GIROU-TEXIER LALY")</f>
        <v>GIROU-TEXIER LALY</v>
      </c>
      <c r="H4" s="3" t="s">
        <v>585</v>
      </c>
      <c r="I4" s="3" t="s">
        <v>586</v>
      </c>
      <c r="J4" t="str">
        <f t="shared" si="1"/>
        <v>BOURDET QUEGUINER HUGO</v>
      </c>
    </row>
    <row r="5" spans="1:10" x14ac:dyDescent="0.25">
      <c r="A5" t="s">
        <v>245</v>
      </c>
      <c r="B5" s="1">
        <v>1</v>
      </c>
      <c r="C5">
        <f ca="1">IFERROR(__xludf.DUMMYFUNCTION("COUNTA(IFERROR(filter('Réponses au formulaire 1'!H:H,'Réponses au formulaire 1'!H:H=A5)))"),2)</f>
        <v>2</v>
      </c>
      <c r="D5" t="str">
        <f t="shared" ca="1" si="0"/>
        <v/>
      </c>
      <c r="E5" t="str">
        <f ca="1">IFERROR(__xludf.DUMMYFUNCTION("""COMPUTED_VALUE"""),"LOUVET CAMILLE")</f>
        <v>LOUVET CAMILLE</v>
      </c>
      <c r="H5" s="4" t="s">
        <v>587</v>
      </c>
      <c r="I5" s="4" t="s">
        <v>393</v>
      </c>
      <c r="J5" t="str">
        <f t="shared" si="1"/>
        <v>BOYÉ ROSALIE</v>
      </c>
    </row>
    <row r="6" spans="1:10" x14ac:dyDescent="0.25">
      <c r="A6" t="s">
        <v>106</v>
      </c>
      <c r="B6" s="1">
        <v>1</v>
      </c>
      <c r="C6">
        <f ca="1">IFERROR(__xludf.DUMMYFUNCTION("COUNTA(IFERROR(filter('Réponses au formulaire 1'!H:H,'Réponses au formulaire 1'!H:H=A6)))"),1)</f>
        <v>1</v>
      </c>
      <c r="D6" t="str">
        <f t="shared" ca="1" si="0"/>
        <v/>
      </c>
      <c r="E6" t="str">
        <f ca="1">IFERROR(__xludf.DUMMYFUNCTION("""COMPUTED_VALUE"""),"MENESGUEN LEÏLOU")</f>
        <v>MENESGUEN LEÏLOU</v>
      </c>
      <c r="H6" s="3" t="s">
        <v>588</v>
      </c>
      <c r="I6" s="3" t="s">
        <v>589</v>
      </c>
      <c r="J6" t="str">
        <f t="shared" si="1"/>
        <v>BRIGE ANTHONY</v>
      </c>
    </row>
    <row r="7" spans="1:10" x14ac:dyDescent="0.25">
      <c r="A7" t="s">
        <v>251</v>
      </c>
      <c r="B7" s="1">
        <v>1</v>
      </c>
      <c r="C7">
        <f ca="1">IFERROR(__xludf.DUMMYFUNCTION("COUNTA(IFERROR(filter('Réponses au formulaire 1'!H:H,'Réponses au formulaire 1'!H:H=A7)))"),1)</f>
        <v>1</v>
      </c>
      <c r="D7" t="str">
        <f t="shared" ca="1" si="0"/>
        <v/>
      </c>
      <c r="E7" t="str">
        <f ca="1">IFERROR(__xludf.DUMMYFUNCTION("""COMPUTED_VALUE"""),"ROLLAND-PIEGUE ANNA")</f>
        <v>ROLLAND-PIEGUE ANNA</v>
      </c>
      <c r="H7" s="4" t="s">
        <v>590</v>
      </c>
      <c r="I7" s="4" t="s">
        <v>365</v>
      </c>
      <c r="J7" t="str">
        <f t="shared" si="1"/>
        <v>CARBOULEC PÉNÉLOPE</v>
      </c>
    </row>
    <row r="8" spans="1:10" x14ac:dyDescent="0.25">
      <c r="A8" t="s">
        <v>222</v>
      </c>
      <c r="B8" s="1">
        <v>1</v>
      </c>
      <c r="C8">
        <f ca="1">IFERROR(__xludf.DUMMYFUNCTION("COUNTA(IFERROR(filter('Réponses au formulaire 1'!H:H,'Réponses au formulaire 1'!H:H=A8)))"),1)</f>
        <v>1</v>
      </c>
      <c r="D8" t="str">
        <f t="shared" ca="1" si="0"/>
        <v/>
      </c>
      <c r="E8" t="str">
        <f ca="1">IFERROR(__xludf.DUMMYFUNCTION("""COMPUTED_VALUE"""),"RONCEY LUCAS")</f>
        <v>RONCEY LUCAS</v>
      </c>
      <c r="H8" s="3" t="s">
        <v>591</v>
      </c>
      <c r="I8" s="3" t="s">
        <v>592</v>
      </c>
      <c r="J8" t="str">
        <f t="shared" si="1"/>
        <v>CAROFF BRIEUC</v>
      </c>
    </row>
    <row r="9" spans="1:10" x14ac:dyDescent="0.25">
      <c r="A9" t="s">
        <v>133</v>
      </c>
      <c r="B9" s="1">
        <v>1</v>
      </c>
      <c r="C9">
        <f ca="1">IFERROR(__xludf.DUMMYFUNCTION("COUNTA(IFERROR(filter('Réponses au formulaire 1'!H:H,'Réponses au formulaire 1'!H:H=A9)))"),1)</f>
        <v>1</v>
      </c>
      <c r="D9" t="str">
        <f t="shared" ca="1" si="0"/>
        <v/>
      </c>
      <c r="H9" s="4" t="s">
        <v>593</v>
      </c>
      <c r="I9" s="4" t="s">
        <v>594</v>
      </c>
      <c r="J9" t="str">
        <f t="shared" si="1"/>
        <v>CHAMPS JUSTINE</v>
      </c>
    </row>
    <row r="10" spans="1:10" x14ac:dyDescent="0.25">
      <c r="A10" t="s">
        <v>184</v>
      </c>
      <c r="B10" s="1">
        <v>1</v>
      </c>
      <c r="C10">
        <f ca="1">IFERROR(__xludf.DUMMYFUNCTION("COUNTA(IFERROR(filter('Réponses au formulaire 1'!H:H,'Réponses au formulaire 1'!H:H=A10)))"),1)</f>
        <v>1</v>
      </c>
      <c r="D10" t="str">
        <f t="shared" ca="1" si="0"/>
        <v/>
      </c>
      <c r="H10" s="3" t="s">
        <v>595</v>
      </c>
      <c r="I10" s="3" t="s">
        <v>596</v>
      </c>
      <c r="J10" t="str">
        <f t="shared" si="1"/>
        <v>CONORT ALBAN</v>
      </c>
    </row>
    <row r="11" spans="1:10" x14ac:dyDescent="0.25">
      <c r="A11" t="s">
        <v>167</v>
      </c>
      <c r="B11" s="1">
        <v>1</v>
      </c>
      <c r="C11">
        <f ca="1">IFERROR(__xludf.DUMMYFUNCTION("COUNTA(IFERROR(filter('Réponses au formulaire 1'!H:H,'Réponses au formulaire 1'!H:H=A11)))"),1)</f>
        <v>1</v>
      </c>
      <c r="D11" t="str">
        <f t="shared" ca="1" si="0"/>
        <v/>
      </c>
      <c r="H11" s="4" t="s">
        <v>597</v>
      </c>
      <c r="I11" s="4" t="s">
        <v>598</v>
      </c>
      <c r="J11" t="str">
        <f t="shared" si="1"/>
        <v>DEROEUX PIERRE-ANTOINE</v>
      </c>
    </row>
    <row r="12" spans="1:10" x14ac:dyDescent="0.25">
      <c r="A12" t="s">
        <v>154</v>
      </c>
      <c r="B12" s="1">
        <v>1</v>
      </c>
      <c r="C12">
        <f ca="1">IFERROR(__xludf.DUMMYFUNCTION("COUNTA(IFERROR(filter('Réponses au formulaire 1'!H:H,'Réponses au formulaire 1'!H:H=A12)))"),1)</f>
        <v>1</v>
      </c>
      <c r="D12" t="str">
        <f t="shared" ca="1" si="0"/>
        <v/>
      </c>
      <c r="H12" s="3" t="s">
        <v>599</v>
      </c>
      <c r="I12" s="3" t="s">
        <v>385</v>
      </c>
      <c r="J12" t="str">
        <f t="shared" si="1"/>
        <v>DIELENSCHNEIDER ARTHUR</v>
      </c>
    </row>
    <row r="13" spans="1:10" x14ac:dyDescent="0.25">
      <c r="A13" t="s">
        <v>114</v>
      </c>
      <c r="B13" s="1">
        <v>1</v>
      </c>
      <c r="C13">
        <f ca="1">IFERROR(__xludf.DUMMYFUNCTION("COUNTA(IFERROR(filter('Réponses au formulaire 1'!H:H,'Réponses au formulaire 1'!H:H=A13)))"),1)</f>
        <v>1</v>
      </c>
      <c r="D13" t="str">
        <f t="shared" ca="1" si="0"/>
        <v/>
      </c>
      <c r="H13" s="4" t="s">
        <v>600</v>
      </c>
      <c r="I13" s="4" t="s">
        <v>601</v>
      </c>
      <c r="J13" t="str">
        <f t="shared" si="1"/>
        <v>FARRET CASSANDRE</v>
      </c>
    </row>
    <row r="14" spans="1:10" x14ac:dyDescent="0.25">
      <c r="A14" t="s">
        <v>602</v>
      </c>
      <c r="B14" s="1">
        <v>1</v>
      </c>
      <c r="C14">
        <f ca="1">IFERROR(__xludf.DUMMYFUNCTION("COUNTA(IFERROR(filter('Réponses au formulaire 1'!H:H,'Réponses au formulaire 1'!H:H=A14)))"),0)</f>
        <v>0</v>
      </c>
      <c r="D14" t="str">
        <f t="shared" ca="1" si="0"/>
        <v>FIX MARIE-LOU</v>
      </c>
      <c r="H14" s="4" t="s">
        <v>603</v>
      </c>
      <c r="I14" s="4" t="s">
        <v>604</v>
      </c>
      <c r="J14" t="str">
        <f t="shared" si="1"/>
        <v>FIX MARIE-LOU</v>
      </c>
    </row>
    <row r="15" spans="1:10" x14ac:dyDescent="0.25">
      <c r="A15" t="s">
        <v>52</v>
      </c>
      <c r="B15" s="1">
        <v>1</v>
      </c>
      <c r="C15">
        <f ca="1">IFERROR(__xludf.DUMMYFUNCTION("COUNTA(IFERROR(filter('Réponses au formulaire 1'!H:H,'Réponses au formulaire 1'!H:H=A15)))"),1)</f>
        <v>1</v>
      </c>
      <c r="D15" t="str">
        <f t="shared" ca="1" si="0"/>
        <v/>
      </c>
      <c r="H15" s="3" t="s">
        <v>605</v>
      </c>
      <c r="I15" s="3" t="s">
        <v>563</v>
      </c>
      <c r="J15" t="str">
        <f t="shared" si="1"/>
        <v>FOLL ENZO</v>
      </c>
    </row>
    <row r="16" spans="1:10" x14ac:dyDescent="0.25">
      <c r="A16" t="s">
        <v>606</v>
      </c>
      <c r="B16" s="1">
        <v>1</v>
      </c>
      <c r="C16">
        <f ca="1">IFERROR(__xludf.DUMMYFUNCTION("COUNTA(IFERROR(filter('Réponses au formulaire 1'!H:H,'Réponses au formulaire 1'!H:H=A16)))"),0)</f>
        <v>0</v>
      </c>
      <c r="D16" t="str">
        <f t="shared" ca="1" si="0"/>
        <v>FOLL KLERVI</v>
      </c>
      <c r="H16" s="4" t="s">
        <v>605</v>
      </c>
      <c r="I16" s="4" t="s">
        <v>607</v>
      </c>
      <c r="J16" t="str">
        <f t="shared" si="1"/>
        <v>FOLL KLERVI</v>
      </c>
    </row>
    <row r="17" spans="1:10" x14ac:dyDescent="0.25">
      <c r="A17" t="s">
        <v>608</v>
      </c>
      <c r="B17" s="1">
        <v>1</v>
      </c>
      <c r="C17">
        <f ca="1">IFERROR(__xludf.DUMMYFUNCTION("COUNTA(IFERROR(filter('Réponses au formulaire 1'!H:H,'Réponses au formulaire 1'!H:H=A17)))"),0)</f>
        <v>0</v>
      </c>
      <c r="D17" t="str">
        <f t="shared" ca="1" si="0"/>
        <v>GIROU-TEXIER LALY</v>
      </c>
      <c r="H17" s="3" t="s">
        <v>609</v>
      </c>
      <c r="I17" s="3" t="s">
        <v>610</v>
      </c>
      <c r="J17" t="str">
        <f t="shared" si="1"/>
        <v>GIROU-TEXIER LALY</v>
      </c>
    </row>
    <row r="18" spans="1:10" x14ac:dyDescent="0.25">
      <c r="A18" t="s">
        <v>188</v>
      </c>
      <c r="B18" s="1">
        <v>1</v>
      </c>
      <c r="C18">
        <f ca="1">IFERROR(__xludf.DUMMYFUNCTION("COUNTA(IFERROR(filter('Réponses au formulaire 1'!H:H,'Réponses au formulaire 1'!H:H=A18)))"),1)</f>
        <v>1</v>
      </c>
      <c r="D18" t="str">
        <f t="shared" ca="1" si="0"/>
        <v/>
      </c>
      <c r="H18" s="4" t="s">
        <v>493</v>
      </c>
      <c r="I18" s="4" t="s">
        <v>506</v>
      </c>
      <c r="J18" t="str">
        <f t="shared" si="1"/>
        <v>GREZEL CHLOÉ</v>
      </c>
    </row>
    <row r="19" spans="1:10" x14ac:dyDescent="0.25">
      <c r="A19" t="s">
        <v>116</v>
      </c>
      <c r="B19" s="1">
        <v>1</v>
      </c>
      <c r="C19">
        <f ca="1">IFERROR(__xludf.DUMMYFUNCTION("COUNTA(IFERROR(filter('Réponses au formulaire 1'!H:H,'Réponses au formulaire 1'!H:H=A19)))"),1)</f>
        <v>1</v>
      </c>
      <c r="D19" t="str">
        <f t="shared" ca="1" si="0"/>
        <v/>
      </c>
      <c r="H19" s="4" t="s">
        <v>611</v>
      </c>
      <c r="I19" s="4" t="s">
        <v>612</v>
      </c>
      <c r="J19" t="str">
        <f t="shared" si="1"/>
        <v>JEZEQUEL MARGAUX</v>
      </c>
    </row>
    <row r="20" spans="1:10" x14ac:dyDescent="0.25">
      <c r="A20" t="s">
        <v>250</v>
      </c>
      <c r="B20" s="1">
        <v>1</v>
      </c>
      <c r="C20">
        <f ca="1">IFERROR(__xludf.DUMMYFUNCTION("COUNTA(IFERROR(filter('Réponses au formulaire 1'!H:H,'Réponses au formulaire 1'!H:H=A20)))"),1)</f>
        <v>1</v>
      </c>
      <c r="D20" t="str">
        <f t="shared" ca="1" si="0"/>
        <v/>
      </c>
      <c r="H20" s="3" t="s">
        <v>613</v>
      </c>
      <c r="I20" s="3" t="s">
        <v>614</v>
      </c>
      <c r="J20" t="str">
        <f t="shared" si="1"/>
        <v>JURRIUS PAULINE</v>
      </c>
    </row>
    <row r="21" spans="1:10" x14ac:dyDescent="0.25">
      <c r="A21" t="s">
        <v>32</v>
      </c>
      <c r="B21" s="1">
        <v>1</v>
      </c>
      <c r="C21">
        <f ca="1">IFERROR(__xludf.DUMMYFUNCTION("COUNTA(IFERROR(filter('Réponses au formulaire 1'!H:H,'Réponses au formulaire 1'!H:H=A21)))"),1)</f>
        <v>1</v>
      </c>
      <c r="D21" t="str">
        <f t="shared" ca="1" si="0"/>
        <v/>
      </c>
      <c r="H21" s="3" t="s">
        <v>615</v>
      </c>
      <c r="I21" s="3" t="s">
        <v>616</v>
      </c>
      <c r="J21" t="str">
        <f t="shared" si="1"/>
        <v>LE GALL CLERVIE</v>
      </c>
    </row>
    <row r="22" spans="1:10" x14ac:dyDescent="0.25">
      <c r="A22" t="s">
        <v>185</v>
      </c>
      <c r="B22" s="1">
        <v>1</v>
      </c>
      <c r="C22">
        <f ca="1">IFERROR(__xludf.DUMMYFUNCTION("COUNTA(IFERROR(filter('Réponses au formulaire 1'!H:H,'Réponses au formulaire 1'!H:H=A22)))"),1)</f>
        <v>1</v>
      </c>
      <c r="D22" t="str">
        <f t="shared" ca="1" si="0"/>
        <v/>
      </c>
      <c r="H22" s="4" t="s">
        <v>617</v>
      </c>
      <c r="I22" s="4" t="s">
        <v>618</v>
      </c>
      <c r="J22" t="str">
        <f t="shared" si="1"/>
        <v>LE MOIGNE SIMON</v>
      </c>
    </row>
    <row r="23" spans="1:10" ht="15" x14ac:dyDescent="0.25">
      <c r="A23" t="s">
        <v>186</v>
      </c>
      <c r="B23" s="1">
        <v>1</v>
      </c>
      <c r="C23">
        <f ca="1">IFERROR(__xludf.DUMMYFUNCTION("COUNTA(IFERROR(filter('Réponses au formulaire 1'!H:H,'Réponses au formulaire 1'!H:H=A23)))"),1)</f>
        <v>1</v>
      </c>
      <c r="D23" t="str">
        <f t="shared" ca="1" si="0"/>
        <v/>
      </c>
      <c r="H23" s="3" t="s">
        <v>619</v>
      </c>
      <c r="I23" s="3" t="s">
        <v>367</v>
      </c>
      <c r="J23" t="str">
        <f t="shared" si="1"/>
        <v>LE SCAO ETIENNE</v>
      </c>
    </row>
    <row r="24" spans="1:10" ht="15" x14ac:dyDescent="0.25">
      <c r="A24" t="s">
        <v>620</v>
      </c>
      <c r="B24" s="1">
        <v>1</v>
      </c>
      <c r="C24">
        <f ca="1">IFERROR(__xludf.DUMMYFUNCTION("COUNTA(IFERROR(filter('Réponses au formulaire 1'!H:H,'Réponses au formulaire 1'!H:H=A24)))"),0)</f>
        <v>0</v>
      </c>
      <c r="D24" t="str">
        <f t="shared" ca="1" si="0"/>
        <v>LOUVET CAMILLE</v>
      </c>
      <c r="H24" s="4" t="s">
        <v>621</v>
      </c>
      <c r="I24" s="4" t="s">
        <v>426</v>
      </c>
      <c r="J24" t="str">
        <f t="shared" si="1"/>
        <v>LOUVET CAMILLE</v>
      </c>
    </row>
    <row r="25" spans="1:10" ht="15" x14ac:dyDescent="0.25">
      <c r="A25" t="s">
        <v>78</v>
      </c>
      <c r="B25" s="1">
        <v>1</v>
      </c>
      <c r="C25">
        <f ca="1">IFERROR(__xludf.DUMMYFUNCTION("COUNTA(IFERROR(filter('Réponses au formulaire 1'!H:H,'Réponses au formulaire 1'!H:H=A25)))"),1)</f>
        <v>1</v>
      </c>
      <c r="D25" t="str">
        <f t="shared" ca="1" si="0"/>
        <v/>
      </c>
      <c r="H25" s="3" t="s">
        <v>622</v>
      </c>
      <c r="I25" s="3" t="s">
        <v>506</v>
      </c>
      <c r="J25" t="str">
        <f t="shared" si="1"/>
        <v>MARCO CHLOÉ</v>
      </c>
    </row>
    <row r="26" spans="1:10" ht="15" x14ac:dyDescent="0.25">
      <c r="A26" t="s">
        <v>623</v>
      </c>
      <c r="B26" s="1">
        <v>1</v>
      </c>
      <c r="C26">
        <f ca="1">IFERROR(__xludf.DUMMYFUNCTION("COUNTA(IFERROR(filter('Réponses au formulaire 1'!H:H,'Réponses au formulaire 1'!H:H=A26)))"),0)</f>
        <v>0</v>
      </c>
      <c r="D26" t="str">
        <f t="shared" ca="1" si="0"/>
        <v>MENESGUEN LEÏLOU</v>
      </c>
      <c r="H26" s="4" t="s">
        <v>624</v>
      </c>
      <c r="I26" s="4" t="s">
        <v>625</v>
      </c>
      <c r="J26" t="str">
        <f t="shared" si="1"/>
        <v>MENESGUEN LEÏLOU</v>
      </c>
    </row>
    <row r="27" spans="1:10" ht="15" x14ac:dyDescent="0.25">
      <c r="A27" t="s">
        <v>182</v>
      </c>
      <c r="B27" s="1">
        <v>1</v>
      </c>
      <c r="C27">
        <f ca="1">IFERROR(__xludf.DUMMYFUNCTION("COUNTA(IFERROR(filter('Réponses au formulaire 1'!H:H,'Réponses au formulaire 1'!H:H=A27)))"),1)</f>
        <v>1</v>
      </c>
      <c r="D27" t="str">
        <f t="shared" ca="1" si="0"/>
        <v/>
      </c>
      <c r="H27" s="3" t="s">
        <v>626</v>
      </c>
      <c r="I27" s="3" t="s">
        <v>627</v>
      </c>
      <c r="J27" t="str">
        <f t="shared" si="1"/>
        <v>MOAL ANDREA</v>
      </c>
    </row>
    <row r="28" spans="1:10" ht="15" x14ac:dyDescent="0.25">
      <c r="A28" t="s">
        <v>223</v>
      </c>
      <c r="B28" s="1">
        <v>1</v>
      </c>
      <c r="C28">
        <f ca="1">IFERROR(__xludf.DUMMYFUNCTION("COUNTA(IFERROR(filter('Réponses au formulaire 1'!H:H,'Réponses au formulaire 1'!H:H=A28)))"),1)</f>
        <v>1</v>
      </c>
      <c r="D28" t="str">
        <f t="shared" ca="1" si="0"/>
        <v/>
      </c>
      <c r="H28" s="4" t="s">
        <v>628</v>
      </c>
      <c r="I28" s="4" t="s">
        <v>629</v>
      </c>
      <c r="J28" t="str">
        <f t="shared" si="1"/>
        <v>MULLIEZ JOSEPH</v>
      </c>
    </row>
    <row r="29" spans="1:10" ht="15" x14ac:dyDescent="0.25">
      <c r="A29" t="s">
        <v>122</v>
      </c>
      <c r="B29" s="1">
        <v>1</v>
      </c>
      <c r="C29">
        <f ca="1">IFERROR(__xludf.DUMMYFUNCTION("COUNTA(IFERROR(filter('Réponses au formulaire 1'!H:H,'Réponses au formulaire 1'!H:H=A29)))"),1)</f>
        <v>1</v>
      </c>
      <c r="D29" t="str">
        <f t="shared" ca="1" si="0"/>
        <v/>
      </c>
      <c r="H29" s="3" t="s">
        <v>630</v>
      </c>
      <c r="I29" s="3" t="s">
        <v>569</v>
      </c>
      <c r="J29" t="str">
        <f t="shared" si="1"/>
        <v>NUNES MATTÉO</v>
      </c>
    </row>
    <row r="30" spans="1:10" ht="15" x14ac:dyDescent="0.25">
      <c r="A30" s="6" t="s">
        <v>142</v>
      </c>
      <c r="B30" s="1">
        <v>1</v>
      </c>
      <c r="C30">
        <f ca="1">IFERROR(__xludf.DUMMYFUNCTION("COUNTA(IFERROR(filter('Réponses au formulaire 1'!H:H,'Réponses au formulaire 1'!H:H=A30)))"),1)</f>
        <v>1</v>
      </c>
      <c r="D30" t="str">
        <f t="shared" ca="1" si="0"/>
        <v/>
      </c>
      <c r="H30" s="4" t="s">
        <v>631</v>
      </c>
      <c r="I30" s="4" t="s">
        <v>632</v>
      </c>
      <c r="J30" t="str">
        <f t="shared" si="1"/>
        <v>PRIEUR ANTOINE</v>
      </c>
    </row>
    <row r="31" spans="1:10" ht="15" x14ac:dyDescent="0.25">
      <c r="A31" t="s">
        <v>126</v>
      </c>
      <c r="B31" s="1">
        <v>1</v>
      </c>
      <c r="C31">
        <f ca="1">IFERROR(__xludf.DUMMYFUNCTION("COUNTA(IFERROR(filter('Réponses au formulaire 1'!H:H,'Réponses au formulaire 1'!H:H=A31)))"),1)</f>
        <v>1</v>
      </c>
      <c r="D31" t="str">
        <f t="shared" ca="1" si="0"/>
        <v/>
      </c>
      <c r="H31" s="4"/>
      <c r="I31" s="4"/>
    </row>
    <row r="32" spans="1:10" ht="15" x14ac:dyDescent="0.25">
      <c r="A32" t="s">
        <v>212</v>
      </c>
      <c r="B32" s="1">
        <v>1</v>
      </c>
      <c r="C32">
        <f ca="1">IFERROR(__xludf.DUMMYFUNCTION("COUNTA(IFERROR(filter('Réponses au formulaire 1'!H:H,'Réponses au formulaire 1'!H:H=A32)))"),1)</f>
        <v>1</v>
      </c>
      <c r="D32" t="str">
        <f t="shared" ca="1" si="0"/>
        <v/>
      </c>
      <c r="H32" s="3" t="s">
        <v>633</v>
      </c>
      <c r="I32" s="3" t="s">
        <v>634</v>
      </c>
      <c r="J32" t="str">
        <f t="shared" ref="J32:J36" si="2">UPPER(H32&amp;" "&amp;I32)</f>
        <v>ROCHCONGAR LOU</v>
      </c>
    </row>
    <row r="33" spans="1:10" ht="15" x14ac:dyDescent="0.25">
      <c r="A33" t="s">
        <v>635</v>
      </c>
      <c r="B33" s="1">
        <v>1</v>
      </c>
      <c r="C33">
        <f ca="1">IFERROR(__xludf.DUMMYFUNCTION("COUNTA(IFERROR(filter('Réponses au formulaire 1'!H:H,'Réponses au formulaire 1'!H:H=A33)))"),0)</f>
        <v>0</v>
      </c>
      <c r="D33" t="str">
        <f t="shared" ca="1" si="0"/>
        <v>ROLLAND-PIEGUE ANNA</v>
      </c>
      <c r="H33" s="4" t="s">
        <v>636</v>
      </c>
      <c r="I33" s="4" t="s">
        <v>637</v>
      </c>
      <c r="J33" t="str">
        <f t="shared" si="2"/>
        <v>ROLLAND-PIEGUE ANNA</v>
      </c>
    </row>
    <row r="34" spans="1:10" ht="15" x14ac:dyDescent="0.25">
      <c r="A34" t="s">
        <v>638</v>
      </c>
      <c r="B34" s="1">
        <v>1</v>
      </c>
      <c r="C34">
        <f ca="1">IFERROR(__xludf.DUMMYFUNCTION("COUNTA(IFERROR(filter('Réponses au formulaire 1'!H:H,'Réponses au formulaire 1'!H:H=A34)))"),0)</f>
        <v>0</v>
      </c>
      <c r="D34" t="str">
        <f t="shared" ca="1" si="0"/>
        <v>RONCEY LUCAS</v>
      </c>
      <c r="H34" s="3" t="s">
        <v>639</v>
      </c>
      <c r="I34" s="3" t="s">
        <v>498</v>
      </c>
      <c r="J34" t="str">
        <f t="shared" si="2"/>
        <v>RONCEY LUCAS</v>
      </c>
    </row>
    <row r="35" spans="1:10" ht="15" x14ac:dyDescent="0.25">
      <c r="A35" t="s">
        <v>130</v>
      </c>
      <c r="B35" s="1">
        <v>1</v>
      </c>
      <c r="C35">
        <f ca="1">IFERROR(__xludf.DUMMYFUNCTION("COUNTA(IFERROR(filter('Réponses au formulaire 1'!H:H,'Réponses au formulaire 1'!H:H=A35)))"),1)</f>
        <v>1</v>
      </c>
      <c r="D35" t="str">
        <f t="shared" ca="1" si="0"/>
        <v/>
      </c>
      <c r="H35" s="4" t="s">
        <v>640</v>
      </c>
      <c r="I35" s="4" t="s">
        <v>641</v>
      </c>
      <c r="J35" t="str">
        <f t="shared" si="2"/>
        <v>SPACENSKY JEANNE</v>
      </c>
    </row>
    <row r="36" spans="1:10" ht="15" x14ac:dyDescent="0.25">
      <c r="A36" t="s">
        <v>246</v>
      </c>
      <c r="B36" s="1">
        <v>1</v>
      </c>
      <c r="C36">
        <f ca="1">IFERROR(__xludf.DUMMYFUNCTION("COUNTA(IFERROR(filter('Réponses au formulaire 1'!H:H,'Réponses au formulaire 1'!H:H=A36)))"),2)</f>
        <v>2</v>
      </c>
      <c r="D36" t="str">
        <f t="shared" ca="1" si="0"/>
        <v/>
      </c>
      <c r="H36" s="3" t="s">
        <v>642</v>
      </c>
      <c r="I36" s="3" t="s">
        <v>643</v>
      </c>
      <c r="J36" t="str">
        <f t="shared" si="2"/>
        <v>STÉPHANUS AÉLIA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36"/>
  <sheetViews>
    <sheetView workbookViewId="0"/>
  </sheetViews>
  <sheetFormatPr baseColWidth="10" defaultColWidth="14.42578125" defaultRowHeight="15.75" customHeight="1" x14ac:dyDescent="0.2"/>
  <cols>
    <col min="1" max="1" width="33.140625" customWidth="1"/>
  </cols>
  <sheetData>
    <row r="1" spans="1:9" ht="15.75" customHeight="1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9" x14ac:dyDescent="0.25">
      <c r="A2" t="s">
        <v>27</v>
      </c>
      <c r="B2" s="1">
        <v>1</v>
      </c>
      <c r="C2">
        <f ca="1">IFERROR(__xludf.DUMMYFUNCTION("COUNTA(IFERROR(filter('Réponses au formulaire 1'!I:I,'Réponses au formulaire 1'!I:I=A2)))"),1)</f>
        <v>1</v>
      </c>
      <c r="D2" t="str">
        <f t="shared" ref="D2:D36" ca="1" si="0">IF(B2&gt;C2,A2,"")</f>
        <v/>
      </c>
      <c r="E2" t="str">
        <f ca="1">IFERROR(__xludf.DUMMYFUNCTION("filter(D2:D36,D2:D36&lt;&gt;"""")"),"LACHUER NOLANN")</f>
        <v>LACHUER NOLANN</v>
      </c>
      <c r="G2" s="3" t="s">
        <v>644</v>
      </c>
      <c r="H2" s="3" t="s">
        <v>356</v>
      </c>
      <c r="I2" t="str">
        <f t="shared" ref="I2:I36" si="1">UPPER(G2&amp;" "&amp;H2)</f>
        <v>BAILLIACHE MATHYS</v>
      </c>
    </row>
    <row r="3" spans="1:9" x14ac:dyDescent="0.25">
      <c r="A3" t="s">
        <v>197</v>
      </c>
      <c r="B3" s="1">
        <v>1</v>
      </c>
      <c r="C3">
        <f ca="1">IFERROR(__xludf.DUMMYFUNCTION("COUNTA(IFERROR(filter('Réponses au formulaire 1'!I:I,'Réponses au formulaire 1'!I:I=A3)))"),1)</f>
        <v>1</v>
      </c>
      <c r="D3" t="str">
        <f t="shared" ca="1" si="0"/>
        <v/>
      </c>
      <c r="E3" t="str">
        <f ca="1">IFERROR(__xludf.DUMMYFUNCTION("""COMPUTED_VALUE"""),"RIS CHLOÉ")</f>
        <v>RIS CHLOÉ</v>
      </c>
      <c r="G3" s="4" t="s">
        <v>645</v>
      </c>
      <c r="H3" s="4" t="s">
        <v>299</v>
      </c>
      <c r="I3" t="str">
        <f t="shared" si="1"/>
        <v>BALCON ELSA</v>
      </c>
    </row>
    <row r="4" spans="1:9" x14ac:dyDescent="0.25">
      <c r="A4" t="s">
        <v>221</v>
      </c>
      <c r="B4" s="1">
        <v>1</v>
      </c>
      <c r="C4">
        <f ca="1">IFERROR(__xludf.DUMMYFUNCTION("COUNTA(IFERROR(filter('Réponses au formulaire 1'!I:I,'Réponses au formulaire 1'!I:I=A4)))"),2)</f>
        <v>2</v>
      </c>
      <c r="D4" t="str">
        <f t="shared" ca="1" si="0"/>
        <v/>
      </c>
      <c r="G4" s="3" t="s">
        <v>646</v>
      </c>
      <c r="H4" s="3" t="s">
        <v>647</v>
      </c>
      <c r="I4" t="str">
        <f t="shared" si="1"/>
        <v>BASTIONI ROMANE</v>
      </c>
    </row>
    <row r="5" spans="1:9" x14ac:dyDescent="0.25">
      <c r="A5" t="s">
        <v>202</v>
      </c>
      <c r="B5" s="1">
        <v>1</v>
      </c>
      <c r="C5">
        <f ca="1">IFERROR(__xludf.DUMMYFUNCTION("COUNTA(IFERROR(filter('Réponses au formulaire 1'!I:I,'Réponses au formulaire 1'!I:I=A5)))"),1)</f>
        <v>1</v>
      </c>
      <c r="D5" t="str">
        <f t="shared" ca="1" si="0"/>
        <v/>
      </c>
      <c r="G5" s="4" t="s">
        <v>648</v>
      </c>
      <c r="H5" s="4" t="s">
        <v>649</v>
      </c>
      <c r="I5" t="str">
        <f t="shared" si="1"/>
        <v>BEAL ALEXIS</v>
      </c>
    </row>
    <row r="6" spans="1:9" x14ac:dyDescent="0.25">
      <c r="A6" t="s">
        <v>147</v>
      </c>
      <c r="B6" s="1">
        <v>1</v>
      </c>
      <c r="C6">
        <f ca="1">IFERROR(__xludf.DUMMYFUNCTION("COUNTA(IFERROR(filter('Réponses au formulaire 1'!I:I,'Réponses au formulaire 1'!I:I=A6)))"),1)</f>
        <v>1</v>
      </c>
      <c r="D6" t="str">
        <f t="shared" ca="1" si="0"/>
        <v/>
      </c>
      <c r="G6" s="3" t="s">
        <v>650</v>
      </c>
      <c r="H6" s="3" t="s">
        <v>426</v>
      </c>
      <c r="I6" t="str">
        <f t="shared" si="1"/>
        <v>BERTHELOT CAMILLE</v>
      </c>
    </row>
    <row r="7" spans="1:9" x14ac:dyDescent="0.25">
      <c r="A7" t="s">
        <v>138</v>
      </c>
      <c r="B7" s="1">
        <v>1</v>
      </c>
      <c r="C7">
        <f ca="1">IFERROR(__xludf.DUMMYFUNCTION("COUNTA(IFERROR(filter('Réponses au formulaire 1'!I:I,'Réponses au formulaire 1'!I:I=A7)))"),1)</f>
        <v>1</v>
      </c>
      <c r="D7" t="str">
        <f t="shared" ca="1" si="0"/>
        <v/>
      </c>
      <c r="G7" s="4" t="s">
        <v>651</v>
      </c>
      <c r="H7" s="4" t="s">
        <v>652</v>
      </c>
      <c r="I7" t="str">
        <f t="shared" si="1"/>
        <v>BLEUNVEN LUCILE</v>
      </c>
    </row>
    <row r="8" spans="1:9" x14ac:dyDescent="0.25">
      <c r="A8" t="s">
        <v>229</v>
      </c>
      <c r="B8" s="1">
        <v>1</v>
      </c>
      <c r="C8">
        <f ca="1">IFERROR(__xludf.DUMMYFUNCTION("COUNTA(IFERROR(filter('Réponses au formulaire 1'!I:I,'Réponses au formulaire 1'!I:I=A8)))"),1)</f>
        <v>1</v>
      </c>
      <c r="D8" t="str">
        <f t="shared" ca="1" si="0"/>
        <v/>
      </c>
      <c r="G8" s="3" t="s">
        <v>653</v>
      </c>
      <c r="H8" s="3" t="s">
        <v>654</v>
      </c>
      <c r="I8" t="str">
        <f t="shared" si="1"/>
        <v>BOUCHER JADE</v>
      </c>
    </row>
    <row r="9" spans="1:9" x14ac:dyDescent="0.25">
      <c r="A9" t="s">
        <v>227</v>
      </c>
      <c r="B9" s="1">
        <v>1</v>
      </c>
      <c r="C9">
        <f ca="1">IFERROR(__xludf.DUMMYFUNCTION("COUNTA(IFERROR(filter('Réponses au formulaire 1'!I:I,'Réponses au formulaire 1'!I:I=A9)))"),1)</f>
        <v>1</v>
      </c>
      <c r="D9" t="str">
        <f t="shared" ca="1" si="0"/>
        <v/>
      </c>
      <c r="G9" s="4" t="s">
        <v>653</v>
      </c>
      <c r="H9" s="4" t="s">
        <v>655</v>
      </c>
      <c r="I9" t="str">
        <f t="shared" si="1"/>
        <v>BOUCHER LÉA</v>
      </c>
    </row>
    <row r="10" spans="1:9" x14ac:dyDescent="0.25">
      <c r="A10" t="s">
        <v>240</v>
      </c>
      <c r="B10" s="1">
        <v>1</v>
      </c>
      <c r="C10">
        <f ca="1">IFERROR(__xludf.DUMMYFUNCTION("COUNTA(IFERROR(filter('Réponses au formulaire 1'!I:I,'Réponses au formulaire 1'!I:I=A10)))"),2)</f>
        <v>2</v>
      </c>
      <c r="D10" t="str">
        <f t="shared" ca="1" si="0"/>
        <v/>
      </c>
      <c r="G10" s="3" t="s">
        <v>656</v>
      </c>
      <c r="H10" s="3" t="s">
        <v>657</v>
      </c>
      <c r="I10" t="str">
        <f t="shared" si="1"/>
        <v>BOUYDOUNAN JIHAD</v>
      </c>
    </row>
    <row r="11" spans="1:9" x14ac:dyDescent="0.25">
      <c r="A11" t="s">
        <v>244</v>
      </c>
      <c r="B11" s="1">
        <v>1</v>
      </c>
      <c r="C11">
        <f ca="1">IFERROR(__xludf.DUMMYFUNCTION("COUNTA(IFERROR(filter('Réponses au formulaire 1'!I:I,'Réponses au formulaire 1'!I:I=A11)))"),1)</f>
        <v>1</v>
      </c>
      <c r="D11" t="str">
        <f t="shared" ca="1" si="0"/>
        <v/>
      </c>
      <c r="G11" s="4" t="s">
        <v>658</v>
      </c>
      <c r="H11" s="4" t="s">
        <v>659</v>
      </c>
      <c r="I11" t="str">
        <f t="shared" si="1"/>
        <v>CASTETS KÉTIARA</v>
      </c>
    </row>
    <row r="12" spans="1:9" x14ac:dyDescent="0.25">
      <c r="A12" t="s">
        <v>225</v>
      </c>
      <c r="B12" s="1">
        <v>1</v>
      </c>
      <c r="C12">
        <f ca="1">IFERROR(__xludf.DUMMYFUNCTION("COUNTA(IFERROR(filter('Réponses au formulaire 1'!I:I,'Réponses au formulaire 1'!I:I=A12)))"),1)</f>
        <v>1</v>
      </c>
      <c r="D12" t="str">
        <f t="shared" ca="1" si="0"/>
        <v/>
      </c>
      <c r="G12" s="3" t="s">
        <v>660</v>
      </c>
      <c r="H12" s="3" t="s">
        <v>661</v>
      </c>
      <c r="I12" t="str">
        <f t="shared" si="1"/>
        <v>CHOMEL MARINE</v>
      </c>
    </row>
    <row r="13" spans="1:9" x14ac:dyDescent="0.25">
      <c r="A13" t="s">
        <v>238</v>
      </c>
      <c r="B13" s="1">
        <v>1</v>
      </c>
      <c r="C13">
        <f ca="1">IFERROR(__xludf.DUMMYFUNCTION("COUNTA(IFERROR(filter('Réponses au formulaire 1'!I:I,'Réponses au formulaire 1'!I:I=A13)))"),1)</f>
        <v>1</v>
      </c>
      <c r="D13" t="str">
        <f t="shared" ca="1" si="0"/>
        <v/>
      </c>
      <c r="G13" s="4" t="s">
        <v>662</v>
      </c>
      <c r="H13" s="4" t="s">
        <v>663</v>
      </c>
      <c r="I13" t="str">
        <f t="shared" si="1"/>
        <v>CRENN DAMIEN</v>
      </c>
    </row>
    <row r="14" spans="1:9" x14ac:dyDescent="0.25">
      <c r="A14" t="s">
        <v>235</v>
      </c>
      <c r="B14" s="1">
        <v>1</v>
      </c>
      <c r="C14">
        <f ca="1">IFERROR(__xludf.DUMMYFUNCTION("COUNTA(IFERROR(filter('Réponses au formulaire 1'!I:I,'Réponses au formulaire 1'!I:I=A14)))"),1)</f>
        <v>1</v>
      </c>
      <c r="D14" t="str">
        <f t="shared" ca="1" si="0"/>
        <v/>
      </c>
      <c r="G14" s="3" t="s">
        <v>664</v>
      </c>
      <c r="H14" s="3" t="s">
        <v>665</v>
      </c>
      <c r="I14" t="str">
        <f t="shared" si="1"/>
        <v>DUMERVAL ATHENAÎS</v>
      </c>
    </row>
    <row r="15" spans="1:9" x14ac:dyDescent="0.25">
      <c r="A15" t="s">
        <v>243</v>
      </c>
      <c r="B15" s="1">
        <v>1</v>
      </c>
      <c r="C15">
        <f ca="1">IFERROR(__xludf.DUMMYFUNCTION("COUNTA(IFERROR(filter('Réponses au formulaire 1'!I:I,'Réponses au formulaire 1'!I:I=A15)))"),1)</f>
        <v>1</v>
      </c>
      <c r="D15" t="str">
        <f t="shared" ca="1" si="0"/>
        <v/>
      </c>
      <c r="G15" s="4" t="s">
        <v>537</v>
      </c>
      <c r="H15" s="4" t="s">
        <v>666</v>
      </c>
      <c r="I15" t="str">
        <f t="shared" si="1"/>
        <v>DUVAL EWAN</v>
      </c>
    </row>
    <row r="16" spans="1:9" x14ac:dyDescent="0.25">
      <c r="A16" t="s">
        <v>194</v>
      </c>
      <c r="B16" s="1">
        <v>1</v>
      </c>
      <c r="C16">
        <f ca="1">IFERROR(__xludf.DUMMYFUNCTION("COUNTA(IFERROR(filter('Réponses au formulaire 1'!I:I,'Réponses au formulaire 1'!I:I=A16)))"),1)</f>
        <v>1</v>
      </c>
      <c r="D16" t="str">
        <f t="shared" ca="1" si="0"/>
        <v/>
      </c>
      <c r="G16" s="3" t="s">
        <v>603</v>
      </c>
      <c r="H16" s="3" t="s">
        <v>667</v>
      </c>
      <c r="I16" t="str">
        <f t="shared" si="1"/>
        <v>FIX MANON</v>
      </c>
    </row>
    <row r="17" spans="1:9" x14ac:dyDescent="0.25">
      <c r="A17" t="s">
        <v>158</v>
      </c>
      <c r="B17" s="1">
        <v>1</v>
      </c>
      <c r="C17">
        <f ca="1">IFERROR(__xludf.DUMMYFUNCTION("COUNTA(IFERROR(filter('Réponses au formulaire 1'!I:I,'Réponses au formulaire 1'!I:I=A17)))"),1)</f>
        <v>1</v>
      </c>
      <c r="D17" t="str">
        <f t="shared" ca="1" si="0"/>
        <v/>
      </c>
      <c r="G17" s="4" t="s">
        <v>668</v>
      </c>
      <c r="H17" s="4" t="s">
        <v>669</v>
      </c>
      <c r="I17" t="str">
        <f t="shared" si="1"/>
        <v>GARCIA LEANE</v>
      </c>
    </row>
    <row r="18" spans="1:9" x14ac:dyDescent="0.25">
      <c r="A18" t="s">
        <v>193</v>
      </c>
      <c r="B18" s="1">
        <v>1</v>
      </c>
      <c r="C18">
        <f ca="1">IFERROR(__xludf.DUMMYFUNCTION("COUNTA(IFERROR(filter('Réponses au formulaire 1'!I:I,'Réponses au formulaire 1'!I:I=A18)))"),2)</f>
        <v>2</v>
      </c>
      <c r="D18" t="str">
        <f t="shared" ca="1" si="0"/>
        <v/>
      </c>
      <c r="G18" s="3" t="s">
        <v>670</v>
      </c>
      <c r="H18" s="3" t="s">
        <v>671</v>
      </c>
      <c r="I18" t="str">
        <f t="shared" si="1"/>
        <v>GUERIN THIBAULT</v>
      </c>
    </row>
    <row r="19" spans="1:9" x14ac:dyDescent="0.25">
      <c r="A19" t="s">
        <v>248</v>
      </c>
      <c r="B19" s="1">
        <v>1</v>
      </c>
      <c r="C19">
        <f ca="1">IFERROR(__xludf.DUMMYFUNCTION("COUNTA(IFERROR(filter('Réponses au formulaire 1'!I:I,'Réponses au formulaire 1'!I:I=A19)))"),1)</f>
        <v>1</v>
      </c>
      <c r="D19" t="str">
        <f t="shared" ca="1" si="0"/>
        <v/>
      </c>
      <c r="G19" s="4" t="s">
        <v>672</v>
      </c>
      <c r="H19" s="4" t="s">
        <v>673</v>
      </c>
      <c r="I19" t="str">
        <f t="shared" si="1"/>
        <v>GUILLON RONAN</v>
      </c>
    </row>
    <row r="20" spans="1:9" x14ac:dyDescent="0.25">
      <c r="A20" t="s">
        <v>231</v>
      </c>
      <c r="B20" s="1">
        <v>1</v>
      </c>
      <c r="C20">
        <f ca="1">IFERROR(__xludf.DUMMYFUNCTION("COUNTA(IFERROR(filter('Réponses au formulaire 1'!I:I,'Réponses au formulaire 1'!I:I=A20)))"),1)</f>
        <v>1</v>
      </c>
      <c r="D20" t="str">
        <f t="shared" ca="1" si="0"/>
        <v/>
      </c>
      <c r="G20" s="3" t="s">
        <v>674</v>
      </c>
      <c r="H20" s="3" t="s">
        <v>500</v>
      </c>
      <c r="I20" t="str">
        <f t="shared" si="1"/>
        <v>JANEIRO-FORTES MALO</v>
      </c>
    </row>
    <row r="21" spans="1:9" x14ac:dyDescent="0.25">
      <c r="A21" t="s">
        <v>206</v>
      </c>
      <c r="B21" s="1">
        <v>1</v>
      </c>
      <c r="C21">
        <f ca="1">IFERROR(__xludf.DUMMYFUNCTION("COUNTA(IFERROR(filter('Réponses au formulaire 1'!I:I,'Réponses au formulaire 1'!I:I=A21)))"),1)</f>
        <v>1</v>
      </c>
      <c r="D21" t="str">
        <f t="shared" ca="1" si="0"/>
        <v/>
      </c>
      <c r="G21" s="4" t="s">
        <v>675</v>
      </c>
      <c r="H21" s="4" t="s">
        <v>676</v>
      </c>
      <c r="I21" t="str">
        <f t="shared" si="1"/>
        <v>KERREST MARGOT</v>
      </c>
    </row>
    <row r="22" spans="1:9" x14ac:dyDescent="0.25">
      <c r="A22" t="s">
        <v>230</v>
      </c>
      <c r="B22" s="1">
        <v>1</v>
      </c>
      <c r="C22">
        <f ca="1">IFERROR(__xludf.DUMMYFUNCTION("COUNTA(IFERROR(filter('Réponses au formulaire 1'!I:I,'Réponses au formulaire 1'!I:I=A22)))"),1)</f>
        <v>1</v>
      </c>
      <c r="D22" t="str">
        <f t="shared" ca="1" si="0"/>
        <v/>
      </c>
      <c r="G22" s="3" t="s">
        <v>677</v>
      </c>
      <c r="H22" s="3" t="s">
        <v>678</v>
      </c>
      <c r="I22" t="str">
        <f t="shared" si="1"/>
        <v>L HARIDON NATACHA</v>
      </c>
    </row>
    <row r="23" spans="1:9" ht="15" x14ac:dyDescent="0.25">
      <c r="A23" t="s">
        <v>679</v>
      </c>
      <c r="B23" s="1">
        <v>1</v>
      </c>
      <c r="C23">
        <f ca="1">IFERROR(__xludf.DUMMYFUNCTION("COUNTA(IFERROR(filter('Réponses au formulaire 1'!I:I,'Réponses au formulaire 1'!I:I=A23)))"),0)</f>
        <v>0</v>
      </c>
      <c r="D23" t="str">
        <f t="shared" ca="1" si="0"/>
        <v>LACHUER NOLANN</v>
      </c>
      <c r="G23" s="4" t="s">
        <v>680</v>
      </c>
      <c r="H23" s="4" t="s">
        <v>681</v>
      </c>
      <c r="I23" t="str">
        <f t="shared" si="1"/>
        <v>LACHUER NOLANN</v>
      </c>
    </row>
    <row r="24" spans="1:9" ht="15" x14ac:dyDescent="0.25">
      <c r="A24" t="s">
        <v>247</v>
      </c>
      <c r="B24" s="1">
        <v>1</v>
      </c>
      <c r="C24">
        <f ca="1">IFERROR(__xludf.DUMMYFUNCTION("COUNTA(IFERROR(filter('Réponses au formulaire 1'!I:I,'Réponses au formulaire 1'!I:I=A24)))"),1)</f>
        <v>1</v>
      </c>
      <c r="D24" t="str">
        <f t="shared" ca="1" si="0"/>
        <v/>
      </c>
      <c r="G24" s="3" t="s">
        <v>682</v>
      </c>
      <c r="H24" s="3" t="s">
        <v>683</v>
      </c>
      <c r="I24" t="str">
        <f t="shared" si="1"/>
        <v>LE BAYON MATHIEU</v>
      </c>
    </row>
    <row r="25" spans="1:9" ht="15" x14ac:dyDescent="0.25">
      <c r="A25" t="s">
        <v>237</v>
      </c>
      <c r="B25" s="1">
        <v>1</v>
      </c>
      <c r="C25">
        <f ca="1">IFERROR(__xludf.DUMMYFUNCTION("COUNTA(IFERROR(filter('Réponses au formulaire 1'!I:I,'Réponses au formulaire 1'!I:I=A25)))"),1)</f>
        <v>1</v>
      </c>
      <c r="D25" t="str">
        <f t="shared" ca="1" si="0"/>
        <v/>
      </c>
      <c r="G25" s="4" t="s">
        <v>684</v>
      </c>
      <c r="H25" s="4" t="s">
        <v>685</v>
      </c>
      <c r="I25" t="str">
        <f t="shared" si="1"/>
        <v>LE BORGNE--SALAÜN VICTOR</v>
      </c>
    </row>
    <row r="26" spans="1:9" ht="15" x14ac:dyDescent="0.25">
      <c r="A26" t="s">
        <v>233</v>
      </c>
      <c r="B26" s="1">
        <v>1</v>
      </c>
      <c r="C26">
        <f ca="1">IFERROR(__xludf.DUMMYFUNCTION("COUNTA(IFERROR(filter('Réponses au formulaire 1'!I:I,'Réponses au formulaire 1'!I:I=A26)))"),1)</f>
        <v>1</v>
      </c>
      <c r="D26" t="str">
        <f t="shared" ca="1" si="0"/>
        <v/>
      </c>
      <c r="G26" s="3" t="s">
        <v>686</v>
      </c>
      <c r="H26" s="3" t="s">
        <v>409</v>
      </c>
      <c r="I26" t="str">
        <f t="shared" si="1"/>
        <v>LE COAT THOMAS</v>
      </c>
    </row>
    <row r="27" spans="1:9" ht="15" x14ac:dyDescent="0.25">
      <c r="A27" t="s">
        <v>234</v>
      </c>
      <c r="B27" s="1">
        <v>1</v>
      </c>
      <c r="C27">
        <f ca="1">IFERROR(__xludf.DUMMYFUNCTION("COUNTA(IFERROR(filter('Réponses au formulaire 1'!I:I,'Réponses au formulaire 1'!I:I=A27)))"),1)</f>
        <v>1</v>
      </c>
      <c r="D27" t="str">
        <f t="shared" ca="1" si="0"/>
        <v/>
      </c>
      <c r="G27" s="4" t="s">
        <v>687</v>
      </c>
      <c r="H27" s="4" t="s">
        <v>688</v>
      </c>
      <c r="I27" t="str">
        <f t="shared" si="1"/>
        <v>LE HIR MAUREEN</v>
      </c>
    </row>
    <row r="28" spans="1:9" ht="15" x14ac:dyDescent="0.25">
      <c r="A28" t="s">
        <v>228</v>
      </c>
      <c r="B28" s="1">
        <v>1</v>
      </c>
      <c r="C28">
        <f ca="1">IFERROR(__xludf.DUMMYFUNCTION("COUNTA(IFERROR(filter('Réponses au formulaire 1'!I:I,'Réponses au formulaire 1'!I:I=A28)))"),1)</f>
        <v>1</v>
      </c>
      <c r="D28" t="str">
        <f t="shared" ca="1" si="0"/>
        <v/>
      </c>
      <c r="G28" s="3" t="s">
        <v>689</v>
      </c>
      <c r="H28" s="3" t="s">
        <v>690</v>
      </c>
      <c r="I28" t="str">
        <f t="shared" si="1"/>
        <v>LEMORT ELISE</v>
      </c>
    </row>
    <row r="29" spans="1:9" ht="15" x14ac:dyDescent="0.25">
      <c r="A29" t="s">
        <v>156</v>
      </c>
      <c r="B29" s="1">
        <v>1</v>
      </c>
      <c r="C29">
        <f ca="1">IFERROR(__xludf.DUMMYFUNCTION("COUNTA(IFERROR(filter('Réponses au formulaire 1'!I:I,'Réponses au formulaire 1'!I:I=A29)))"),1)</f>
        <v>1</v>
      </c>
      <c r="D29" t="str">
        <f t="shared" ca="1" si="0"/>
        <v/>
      </c>
      <c r="G29" s="4" t="s">
        <v>691</v>
      </c>
      <c r="H29" s="4" t="s">
        <v>692</v>
      </c>
      <c r="I29" t="str">
        <f t="shared" si="1"/>
        <v>PIAT MAELENN</v>
      </c>
    </row>
    <row r="30" spans="1:9" ht="15" x14ac:dyDescent="0.25">
      <c r="A30" t="s">
        <v>195</v>
      </c>
      <c r="B30" s="1">
        <v>1</v>
      </c>
      <c r="C30">
        <f ca="1">IFERROR(__xludf.DUMMYFUNCTION("COUNTA(IFERROR(filter('Réponses au formulaire 1'!I:I,'Réponses au formulaire 1'!I:I=A30)))"),1)</f>
        <v>1</v>
      </c>
      <c r="D30" t="str">
        <f t="shared" ca="1" si="0"/>
        <v/>
      </c>
      <c r="G30" s="3" t="s">
        <v>693</v>
      </c>
      <c r="H30" s="3" t="s">
        <v>694</v>
      </c>
      <c r="I30" t="str">
        <f t="shared" si="1"/>
        <v>QUELLEC GABRIEL</v>
      </c>
    </row>
    <row r="31" spans="1:9" ht="15" x14ac:dyDescent="0.25">
      <c r="A31" t="s">
        <v>695</v>
      </c>
      <c r="B31" s="1">
        <v>1</v>
      </c>
      <c r="C31">
        <f ca="1">IFERROR(__xludf.DUMMYFUNCTION("COUNTA(IFERROR(filter('Réponses au formulaire 1'!I:I,'Réponses au formulaire 1'!I:I=A31)))"),0)</f>
        <v>0</v>
      </c>
      <c r="D31" t="str">
        <f t="shared" ca="1" si="0"/>
        <v>RIS CHLOÉ</v>
      </c>
      <c r="G31" s="4" t="s">
        <v>696</v>
      </c>
      <c r="H31" s="4" t="s">
        <v>506</v>
      </c>
      <c r="I31" t="str">
        <f t="shared" si="1"/>
        <v>RIS CHLOÉ</v>
      </c>
    </row>
    <row r="32" spans="1:9" ht="15" x14ac:dyDescent="0.25">
      <c r="A32" t="s">
        <v>239</v>
      </c>
      <c r="B32" s="1">
        <v>1</v>
      </c>
      <c r="C32">
        <f ca="1">IFERROR(__xludf.DUMMYFUNCTION("COUNTA(IFERROR(filter('Réponses au formulaire 1'!I:I,'Réponses au formulaire 1'!I:I=A32)))"),1)</f>
        <v>1</v>
      </c>
      <c r="D32" t="str">
        <f t="shared" ca="1" si="0"/>
        <v/>
      </c>
      <c r="G32" s="3" t="s">
        <v>697</v>
      </c>
      <c r="H32" s="3" t="s">
        <v>698</v>
      </c>
      <c r="I32" t="str">
        <f t="shared" si="1"/>
        <v>ROUGIER SERVANE</v>
      </c>
    </row>
    <row r="33" spans="1:9" ht="15" x14ac:dyDescent="0.25">
      <c r="A33" t="s">
        <v>134</v>
      </c>
      <c r="B33" s="1">
        <v>1</v>
      </c>
      <c r="C33">
        <f ca="1">IFERROR(__xludf.DUMMYFUNCTION("COUNTA(IFERROR(filter('Réponses au formulaire 1'!I:I,'Réponses au formulaire 1'!I:I=A33)))"),1)</f>
        <v>1</v>
      </c>
      <c r="D33" t="str">
        <f t="shared" ca="1" si="0"/>
        <v/>
      </c>
      <c r="G33" s="3" t="s">
        <v>428</v>
      </c>
      <c r="H33" s="3" t="s">
        <v>699</v>
      </c>
      <c r="I33" t="str">
        <f t="shared" si="1"/>
        <v>GUENEE CARLA</v>
      </c>
    </row>
    <row r="34" spans="1:9" ht="15" x14ac:dyDescent="0.25">
      <c r="A34" t="s">
        <v>236</v>
      </c>
      <c r="B34" s="1">
        <v>1</v>
      </c>
      <c r="C34">
        <f ca="1">IFERROR(__xludf.DUMMYFUNCTION("COUNTA(IFERROR(filter('Réponses au formulaire 1'!I:I,'Réponses au formulaire 1'!I:I=A34)))"),1)</f>
        <v>1</v>
      </c>
      <c r="D34" t="str">
        <f t="shared" ca="1" si="0"/>
        <v/>
      </c>
      <c r="G34" s="3" t="s">
        <v>700</v>
      </c>
      <c r="H34" s="3" t="s">
        <v>701</v>
      </c>
      <c r="I34" t="str">
        <f t="shared" si="1"/>
        <v>SAILLANT LUNA</v>
      </c>
    </row>
    <row r="35" spans="1:9" ht="15" x14ac:dyDescent="0.25">
      <c r="A35" t="s">
        <v>232</v>
      </c>
      <c r="B35" s="1">
        <v>1</v>
      </c>
      <c r="C35">
        <f ca="1">IFERROR(__xludf.DUMMYFUNCTION("COUNTA(IFERROR(filter('Réponses au formulaire 1'!I:I,'Réponses au formulaire 1'!I:I=A35)))"),1)</f>
        <v>1</v>
      </c>
      <c r="D35" t="str">
        <f t="shared" ca="1" si="0"/>
        <v/>
      </c>
      <c r="G35" s="4" t="s">
        <v>702</v>
      </c>
      <c r="H35" s="4" t="s">
        <v>703</v>
      </c>
      <c r="I35" t="str">
        <f t="shared" si="1"/>
        <v>SOUFFES DESPRE PAUL</v>
      </c>
    </row>
    <row r="36" spans="1:9" ht="15" x14ac:dyDescent="0.25">
      <c r="A36" t="s">
        <v>242</v>
      </c>
      <c r="B36" s="1">
        <v>1</v>
      </c>
      <c r="C36">
        <f ca="1">IFERROR(__xludf.DUMMYFUNCTION("COUNTA(IFERROR(filter('Réponses au formulaire 1'!I:I,'Réponses au formulaire 1'!I:I=A36)))"),2)</f>
        <v>2</v>
      </c>
      <c r="D36" t="str">
        <f t="shared" ca="1" si="0"/>
        <v/>
      </c>
      <c r="G36" s="3" t="s">
        <v>704</v>
      </c>
      <c r="H36" s="3" t="s">
        <v>705</v>
      </c>
      <c r="I36" t="str">
        <f t="shared" si="1"/>
        <v>THUILLIER ROMAIN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"/>
  <sheetViews>
    <sheetView workbookViewId="0"/>
  </sheetViews>
  <sheetFormatPr baseColWidth="10" defaultColWidth="14.42578125" defaultRowHeight="15.75" customHeight="1" x14ac:dyDescent="0.2"/>
  <cols>
    <col min="1" max="1" width="22.5703125" customWidth="1"/>
  </cols>
  <sheetData>
    <row r="1" spans="1:5" ht="15.75" customHeight="1" x14ac:dyDescent="0.2">
      <c r="A1" s="1" t="s">
        <v>706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5" ht="15.75" customHeight="1" x14ac:dyDescent="0.2">
      <c r="A2" s="1" t="s">
        <v>59</v>
      </c>
      <c r="B2" s="1">
        <v>20</v>
      </c>
      <c r="C2" s="7">
        <f ca="1">IFERROR(__xludf.DUMMYFUNCTION("COUNTA(IFERROR(filter('Réponses au formulaire 1'!K:K,'Réponses au formulaire 1'!K:K=A2)))"),20)</f>
        <v>20</v>
      </c>
      <c r="D2" t="str">
        <f t="shared" ref="D2:D8" ca="1" si="0">IF(B2&gt;C2,A2,"")</f>
        <v/>
      </c>
      <c r="E2" t="str">
        <f ca="1">IFERROR(__xludf.DUMMYFUNCTION("filter(D2:D9,D2:D9&lt;&gt;"""")"),"#N/A")</f>
        <v>#N/A</v>
      </c>
    </row>
    <row r="3" spans="1:5" ht="15.75" customHeight="1" x14ac:dyDescent="0.2">
      <c r="A3" s="1" t="s">
        <v>23</v>
      </c>
      <c r="B3" s="1">
        <v>20</v>
      </c>
      <c r="C3" s="7">
        <f ca="1">IFERROR(__xludf.DUMMYFUNCTION("COUNTA(IFERROR(filter('Réponses au formulaire 1'!K:K,'Réponses au formulaire 1'!K:K=A3)))"),20)</f>
        <v>20</v>
      </c>
      <c r="D3" t="str">
        <f t="shared" ca="1" si="0"/>
        <v/>
      </c>
    </row>
    <row r="4" spans="1:5" ht="15.75" customHeight="1" x14ac:dyDescent="0.2">
      <c r="A4" s="1" t="s">
        <v>201</v>
      </c>
      <c r="B4" s="1">
        <v>20</v>
      </c>
      <c r="C4" s="7">
        <f ca="1">IFERROR(__xludf.DUMMYFUNCTION("COUNTA(IFERROR(filter('Réponses au formulaire 1'!K:K,'Réponses au formulaire 1'!K:K=A4)))"),20)</f>
        <v>20</v>
      </c>
      <c r="D4" t="str">
        <f t="shared" ca="1" si="0"/>
        <v/>
      </c>
    </row>
    <row r="5" spans="1:5" ht="15.75" customHeight="1" x14ac:dyDescent="0.2">
      <c r="A5" s="1" t="s">
        <v>61</v>
      </c>
      <c r="B5" s="1">
        <v>20</v>
      </c>
      <c r="C5" s="7">
        <f ca="1">IFERROR(__xludf.DUMMYFUNCTION("COUNTA(IFERROR(filter('Réponses au formulaire 1'!K:K,'Réponses au formulaire 1'!K:K=A5)))"),20)</f>
        <v>20</v>
      </c>
      <c r="D5" t="str">
        <f t="shared" ca="1" si="0"/>
        <v/>
      </c>
    </row>
    <row r="6" spans="1:5" ht="15.75" customHeight="1" x14ac:dyDescent="0.2">
      <c r="A6" s="1" t="s">
        <v>6</v>
      </c>
      <c r="B6" s="1">
        <v>20</v>
      </c>
      <c r="C6" s="7">
        <f ca="1">IFERROR(__xludf.DUMMYFUNCTION("COUNTA(IFERROR(filter('Réponses au formulaire 1'!K:K,'Réponses au formulaire 1'!K:K=A6)))"),20)</f>
        <v>20</v>
      </c>
      <c r="D6" t="str">
        <f t="shared" ca="1" si="0"/>
        <v/>
      </c>
    </row>
    <row r="7" spans="1:5" ht="15.75" customHeight="1" x14ac:dyDescent="0.2">
      <c r="A7" s="1" t="s">
        <v>13</v>
      </c>
      <c r="B7" s="1">
        <v>20</v>
      </c>
      <c r="C7" s="7">
        <f ca="1">IFERROR(__xludf.DUMMYFUNCTION("COUNTA(IFERROR(filter('Réponses au formulaire 1'!K:K,'Réponses au formulaire 1'!K:K=A7)))"),20)</f>
        <v>20</v>
      </c>
      <c r="D7" t="str">
        <f t="shared" ca="1" si="0"/>
        <v/>
      </c>
    </row>
    <row r="8" spans="1:5" ht="15.75" customHeight="1" x14ac:dyDescent="0.2">
      <c r="A8" s="1" t="s">
        <v>21</v>
      </c>
      <c r="B8" s="1">
        <v>20</v>
      </c>
      <c r="C8" s="7">
        <f ca="1">IFERROR(__xludf.DUMMYFUNCTION("COUNTA(IFERROR(filter('Réponses au formulaire 1'!K:K,'Réponses au formulaire 1'!K:K=A8)))"),20)</f>
        <v>20</v>
      </c>
      <c r="D8" t="str">
        <f t="shared" ca="1" si="0"/>
        <v/>
      </c>
    </row>
    <row r="9" spans="1:5" ht="15.75" customHeight="1" x14ac:dyDescent="0.2">
      <c r="C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9"/>
  <sheetViews>
    <sheetView workbookViewId="0"/>
  </sheetViews>
  <sheetFormatPr baseColWidth="10" defaultColWidth="14.42578125" defaultRowHeight="15.75" customHeight="1" x14ac:dyDescent="0.2"/>
  <cols>
    <col min="1" max="1" width="24.140625" customWidth="1"/>
  </cols>
  <sheetData>
    <row r="1" spans="1:5" ht="15.75" customHeight="1" x14ac:dyDescent="0.2">
      <c r="A1" s="1" t="s">
        <v>706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5" ht="15.75" customHeight="1" x14ac:dyDescent="0.2">
      <c r="A2" s="1" t="s">
        <v>59</v>
      </c>
      <c r="B2" s="1">
        <v>14</v>
      </c>
      <c r="C2" s="7">
        <f ca="1">IFERROR(__xludf.DUMMYFUNCTION("COUNTA(IFERROR(filter('Réponses au formulaire 1'!L:L,'Réponses au formulaire 1'!L:L=A2)))"),14)</f>
        <v>14</v>
      </c>
      <c r="D2" t="str">
        <f t="shared" ref="D2:D9" ca="1" si="0">IF(B2&gt;C2,A2,"")</f>
        <v/>
      </c>
      <c r="E2" t="str">
        <f ca="1">IFERROR(__xludf.DUMMYFUNCTION("filter(D2:D9,D2:D9&lt;&gt;"""")"),"Histoire")</f>
        <v>Histoire</v>
      </c>
    </row>
    <row r="3" spans="1:5" ht="15.75" customHeight="1" x14ac:dyDescent="0.2">
      <c r="A3" s="1" t="s">
        <v>23</v>
      </c>
      <c r="B3" s="1">
        <v>14</v>
      </c>
      <c r="C3" s="7">
        <f ca="1">IFERROR(__xludf.DUMMYFUNCTION("COUNTA(IFERROR(filter('Réponses au formulaire 1'!L:L,'Réponses au formulaire 1'!L:L=A3)))"),13)</f>
        <v>13</v>
      </c>
      <c r="D3" t="str">
        <f t="shared" ca="1" si="0"/>
        <v>Histoire</v>
      </c>
      <c r="E3" t="str">
        <f ca="1">IFERROR(__xludf.DUMMYFUNCTION("""COMPUTED_VALUE"""),"SVT")</f>
        <v>SVT</v>
      </c>
    </row>
    <row r="4" spans="1:5" ht="15.75" customHeight="1" x14ac:dyDescent="0.2">
      <c r="A4" s="1" t="s">
        <v>180</v>
      </c>
      <c r="B4" s="1">
        <v>12</v>
      </c>
      <c r="C4" s="7">
        <f ca="1">IFERROR(__xludf.DUMMYFUNCTION("COUNTA(IFERROR(filter('Réponses au formulaire 1'!L:L,'Réponses au formulaire 1'!L:L=A4)))"),7)</f>
        <v>7</v>
      </c>
      <c r="D4" t="str">
        <f t="shared" ca="1" si="0"/>
        <v>SVT</v>
      </c>
    </row>
    <row r="5" spans="1:5" ht="15.75" customHeight="1" x14ac:dyDescent="0.2">
      <c r="A5" s="1" t="s">
        <v>25</v>
      </c>
      <c r="B5" s="1">
        <v>14</v>
      </c>
      <c r="C5" s="7">
        <f ca="1">IFERROR(__xludf.DUMMYFUNCTION("COUNTA(IFERROR(filter('Réponses au formulaire 1'!L:L,'Réponses au formulaire 1'!L:L=A5)))"),14)</f>
        <v>14</v>
      </c>
      <c r="D5" t="str">
        <f t="shared" ca="1" si="0"/>
        <v/>
      </c>
    </row>
    <row r="6" spans="1:5" ht="15.75" customHeight="1" x14ac:dyDescent="0.2">
      <c r="A6" s="1" t="s">
        <v>6</v>
      </c>
      <c r="B6" s="1">
        <v>14</v>
      </c>
      <c r="C6" s="7">
        <f ca="1">IFERROR(__xludf.DUMMYFUNCTION("COUNTA(IFERROR(filter('Réponses au formulaire 1'!L:L,'Réponses au formulaire 1'!L:L=A6)))"),14)</f>
        <v>14</v>
      </c>
      <c r="D6" t="str">
        <f t="shared" ca="1" si="0"/>
        <v/>
      </c>
    </row>
    <row r="7" spans="1:5" ht="15.75" customHeight="1" x14ac:dyDescent="0.2">
      <c r="A7" s="1" t="s">
        <v>10</v>
      </c>
      <c r="B7" s="1">
        <v>14</v>
      </c>
      <c r="C7" s="7">
        <f ca="1">IFERROR(__xludf.DUMMYFUNCTION("COUNTA(IFERROR(filter('Réponses au formulaire 1'!L:L,'Réponses au formulaire 1'!L:L=A7)))"),14)</f>
        <v>14</v>
      </c>
      <c r="D7" t="str">
        <f t="shared" ca="1" si="0"/>
        <v/>
      </c>
    </row>
    <row r="8" spans="1:5" ht="15.75" customHeight="1" x14ac:dyDescent="0.2">
      <c r="A8" s="1" t="s">
        <v>166</v>
      </c>
      <c r="B8" s="1">
        <v>14</v>
      </c>
      <c r="C8" s="7">
        <f ca="1">IFERROR(__xludf.DUMMYFUNCTION("COUNTA(IFERROR(filter('Réponses au formulaire 1'!L:L,'Réponses au formulaire 1'!L:L=A8)))"),14)</f>
        <v>14</v>
      </c>
      <c r="D8" t="str">
        <f t="shared" ca="1" si="0"/>
        <v/>
      </c>
    </row>
    <row r="9" spans="1:5" ht="15.75" customHeight="1" x14ac:dyDescent="0.2">
      <c r="A9" s="1" t="s">
        <v>30</v>
      </c>
      <c r="B9" s="1">
        <v>14</v>
      </c>
      <c r="C9" s="7">
        <f ca="1">IFERROR(__xludf.DUMMYFUNCTION("COUNTA(IFERROR(filter('Réponses au formulaire 1'!L:L,'Réponses au formulaire 1'!L:L=A9)))"),14)</f>
        <v>14</v>
      </c>
      <c r="D9" t="str">
        <f t="shared" ca="1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Réponses au formulaire 1</vt:lpstr>
      <vt:lpstr>Seconde 1</vt:lpstr>
      <vt:lpstr>Seconde 2</vt:lpstr>
      <vt:lpstr>Seconde 3</vt:lpstr>
      <vt:lpstr>Seconde 4</vt:lpstr>
      <vt:lpstr>Seconde 5</vt:lpstr>
      <vt:lpstr>Seconde 6</vt:lpstr>
      <vt:lpstr>Seconde 7</vt:lpstr>
      <vt:lpstr>Atelier du Mercredi</vt:lpstr>
      <vt:lpstr>Atelier du mardi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Deduyer</cp:lastModifiedBy>
  <dcterms:modified xsi:type="dcterms:W3CDTF">2021-01-12T10:56:28Z</dcterms:modified>
</cp:coreProperties>
</file>